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t\Tableau Project\Election data analysis\"/>
    </mc:Choice>
  </mc:AlternateContent>
  <bookViews>
    <workbookView xWindow="0" yWindow="0" windowWidth="23040" windowHeight="9072"/>
  </bookViews>
  <sheets>
    <sheet name="party_wise_results.csv" sheetId="1" r:id="rId1"/>
  </sheets>
  <calcPr calcId="162913"/>
</workbook>
</file>

<file path=xl/calcChain.xml><?xml version="1.0" encoding="utf-8"?>
<calcChain xmlns="http://schemas.openxmlformats.org/spreadsheetml/2006/main">
  <c r="B67" i="1" l="1"/>
  <c r="B59" i="1"/>
  <c r="B51" i="1"/>
  <c r="B43" i="1"/>
  <c r="B35" i="1"/>
  <c r="B27" i="1"/>
  <c r="B19" i="1"/>
  <c r="B11" i="1"/>
  <c r="B3" i="1"/>
  <c r="B40" i="1"/>
  <c r="B8" i="1"/>
  <c r="B55" i="1"/>
  <c r="B39" i="1"/>
  <c r="B7" i="1"/>
  <c r="B46" i="1"/>
  <c r="B30" i="1"/>
  <c r="B61" i="1"/>
  <c r="B21" i="1"/>
  <c r="B44" i="1"/>
  <c r="B12" i="1"/>
  <c r="B66" i="1"/>
  <c r="B58" i="1"/>
  <c r="B50" i="1"/>
  <c r="B42" i="1"/>
  <c r="B34" i="1"/>
  <c r="B26" i="1"/>
  <c r="B18" i="1"/>
  <c r="B10" i="1"/>
  <c r="B2" i="1"/>
  <c r="B48" i="1"/>
  <c r="B16" i="1"/>
  <c r="B47" i="1"/>
  <c r="B15" i="1"/>
  <c r="B38" i="1"/>
  <c r="B6" i="1"/>
  <c r="B53" i="1"/>
  <c r="B5" i="1"/>
  <c r="B52" i="1"/>
  <c r="B20" i="1"/>
  <c r="B65" i="1"/>
  <c r="B57" i="1"/>
  <c r="B49" i="1"/>
  <c r="B41" i="1"/>
  <c r="B33" i="1"/>
  <c r="B25" i="1"/>
  <c r="B17" i="1"/>
  <c r="B9" i="1"/>
  <c r="B56" i="1"/>
  <c r="B24" i="1"/>
  <c r="B63" i="1"/>
  <c r="B23" i="1"/>
  <c r="B54" i="1"/>
  <c r="B22" i="1"/>
  <c r="B45" i="1"/>
  <c r="B13" i="1"/>
  <c r="B36" i="1"/>
  <c r="B4" i="1"/>
  <c r="B64" i="1"/>
  <c r="B32" i="1"/>
  <c r="B31" i="1"/>
  <c r="B62" i="1"/>
  <c r="B14" i="1"/>
  <c r="B37" i="1"/>
  <c r="B60" i="1"/>
  <c r="B28" i="1"/>
  <c r="B29" i="1"/>
</calcChain>
</file>

<file path=xl/sharedStrings.xml><?xml version="1.0" encoding="utf-8"?>
<sst xmlns="http://schemas.openxmlformats.org/spreadsheetml/2006/main" count="78" uniqueCount="78">
  <si>
    <t>party_name</t>
  </si>
  <si>
    <t>party_name_eng</t>
  </si>
  <si>
    <t>is_independent</t>
  </si>
  <si>
    <t>seats_contested</t>
  </si>
  <si>
    <t>seats_won</t>
  </si>
  <si>
    <t>win_rate_pct</t>
  </si>
  <si>
    <t>total_votes</t>
  </si>
  <si>
    <t>vote_share_pct</t>
  </si>
  <si>
    <t>avg_votes_per_candidate</t>
  </si>
  <si>
    <t>male_candidates</t>
  </si>
  <si>
    <t>female_candidates</t>
  </si>
  <si>
    <t>other_candidates</t>
  </si>
  <si>
    <t>राष्ट्रिय स्वतन्त्र पार्टी</t>
  </si>
  <si>
    <t>नेपाली काँग्रेस</t>
  </si>
  <si>
    <t>नेपाल कम्युनिष्ट पार्टी (एकीकृत मार्क्सवादी लेनिनवादी)</t>
  </si>
  <si>
    <t>नेपाली कम्युनिष्ट पार्टी</t>
  </si>
  <si>
    <t>श्रम संस्कृति पार्टी</t>
  </si>
  <si>
    <t>राष्ट्रिय प्रजातन्त्र पार्टी</t>
  </si>
  <si>
    <t>स्वतन्त्र</t>
  </si>
  <si>
    <t>उज्यालो नेपाल पार्टी</t>
  </si>
  <si>
    <t>संघीय लोकतान्त्रिक राष्ट्रिय मञ्च</t>
  </si>
  <si>
    <t>नेपाल कम्युनिस्ट पार्टी (माओवादी)</t>
  </si>
  <si>
    <t>जनता समाजवादी पार्टी(एकल चुनाव चिन्ह)</t>
  </si>
  <si>
    <t>जनता समाजवादी पार्टी, नेपाल</t>
  </si>
  <si>
    <t>मंगोल नेशनल अर्गनाइजेसन</t>
  </si>
  <si>
    <t>नेपाल जनमुक्ति पार्टी</t>
  </si>
  <si>
    <t>राष्ट्रिय परिवर्तन पार्टी</t>
  </si>
  <si>
    <t>राष्ट्रिय मुक्ति पार्टी नेपाल(एकल चुनाव चिन्ह)</t>
  </si>
  <si>
    <t>प्रगतिशील लोकतान्त्रिक पार्टी</t>
  </si>
  <si>
    <t>नेपाल मजदुर किसान पार्टी</t>
  </si>
  <si>
    <t>राष्ट्रिय जनमुक्ति पार्टी</t>
  </si>
  <si>
    <t>नेपाल सद्भावना पार्टी</t>
  </si>
  <si>
    <t>जनमत पार्टी</t>
  </si>
  <si>
    <t>नेपाल कम्युनिष्ट पार्टी (संयुक्त)</t>
  </si>
  <si>
    <t>नेशनल रिपब्लिक नेपाल</t>
  </si>
  <si>
    <t>नेपाल कम्युनिष्ट पार्टी मार्क्सवादी (पुष्पलाल)</t>
  </si>
  <si>
    <t>पिपुल फर्ष्ट पार्टी</t>
  </si>
  <si>
    <t>राष्ट्रिय जनमोर्चा</t>
  </si>
  <si>
    <t>नेपाली जनश्रमदान संस्कृति पार्टी</t>
  </si>
  <si>
    <t>आम जनता पार्टी(एकल चुनाव चिन्ह)</t>
  </si>
  <si>
    <t>मितेरी पार्टी नेपाल</t>
  </si>
  <si>
    <t>राष्ट्रिय उर्जाशील पार्टी, नेपाल</t>
  </si>
  <si>
    <t>संयुक्त नागरिक पार्टी</t>
  </si>
  <si>
    <t>जय मातृभूमि पार्टी</t>
  </si>
  <si>
    <t>राष्ट्र निर्माण दल नेपाल</t>
  </si>
  <si>
    <t>समावेशी समाजवादी पार्टी</t>
  </si>
  <si>
    <t>नागरिक उन्मुक्ति पार्टी, नेपाल(एकल चुनाव चिन्ह)</t>
  </si>
  <si>
    <t>सार्वभौम नागरिक पार्टी</t>
  </si>
  <si>
    <t>राष्ट्रिय साझा पार्टी</t>
  </si>
  <si>
    <t>नेपाल लोकतान्त्रिक पार्टी</t>
  </si>
  <si>
    <t>समावेशी समाजवादी पार्टी नेपाल</t>
  </si>
  <si>
    <t>नेपाल जनता पार्टी</t>
  </si>
  <si>
    <t>नेपाली जनता दल</t>
  </si>
  <si>
    <t>नागरिक सर्वोच्चता पार्टी नेपाल(एकल चुनाव चिन्ह)</t>
  </si>
  <si>
    <t>स्वाभिमान पार्टी</t>
  </si>
  <si>
    <t>नेपाल जनता संरक्षण पार्टी</t>
  </si>
  <si>
    <t>राष्ट्रिय एकता दल</t>
  </si>
  <si>
    <t>जन अधिकार पार्टी</t>
  </si>
  <si>
    <t>नेपालका लागि नेपाली पार्टी</t>
  </si>
  <si>
    <t>जनता लोकतान्त्रिक पार्टी, नेपाल</t>
  </si>
  <si>
    <t>नेपाल संघीय समाजवादी पार्टी(एकल चुनाव चिन्ह)</t>
  </si>
  <si>
    <t>बहुजन एकता पार्टी नेपाल(एकल चुनाव चिन्ह)</t>
  </si>
  <si>
    <t>बहुजन शक्ति पार्टी</t>
  </si>
  <si>
    <t>इतिहासिक जनता पार्टी</t>
  </si>
  <si>
    <t>जनादेश पार्टी नेपाल(एकल चुनाव चिन्ह)</t>
  </si>
  <si>
    <t>राष्ट्रिय जनता पार्टी नेपाल</t>
  </si>
  <si>
    <t>राष्ट्रिय मुक्ति आन्दोलन, नेपाल</t>
  </si>
  <si>
    <t>गतिशील लोकतान्त्रिक पार्टी</t>
  </si>
  <si>
    <t>युनाईटेड नेपाल डिमोक्रयाटीक पार्टी</t>
  </si>
  <si>
    <t>प्रजातान्त्रिक पार्टी नेपाल</t>
  </si>
  <si>
    <t>नेपाल जनसेवा पार्टी</t>
  </si>
  <si>
    <t>त्रिमूल नेपाल</t>
  </si>
  <si>
    <t>नेपाल कम्युनिष्ट पार्टी (माक्र्सवादी)(एकल चुनाव चिन्ह)</t>
  </si>
  <si>
    <t>राष्ट्रिय नागरिक पार्टी</t>
  </si>
  <si>
    <t>नेपाल मानवतावादी पार्टी</t>
  </si>
  <si>
    <t>नेपाल मातृभूमि पार्टी</t>
  </si>
  <si>
    <t>गान्धीवादी पार्टी नेपाल</t>
  </si>
  <si>
    <t>राष्ट्रिय जनमत पार्टी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</si>
</sst>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L67" totalsRowShown="0" headerRowDxfId="0" dataDxfId="1">
  <autoFilter ref="A1:L67"/>
  <tableColumns count="12">
    <tableColumn id="1" name="party_name" dataDxfId="13"/>
    <tableColumn id="2" name="party_name_eng" dataDxfId="12"/>
    <tableColumn id="3" name="is_independent" dataDxfId="11"/>
    <tableColumn id="4" name="seats_contested" dataDxfId="10"/>
    <tableColumn id="5" name="seats_won" dataDxfId="9"/>
    <tableColumn id="6" name="win_rate_pct" dataDxfId="8"/>
    <tableColumn id="7" name="total_votes" dataDxfId="7"/>
    <tableColumn id="8" name="vote_share_pct" dataDxfId="6"/>
    <tableColumn id="9" name="avg_votes_per_candidate" dataDxfId="5"/>
    <tableColumn id="10" name="male_candidates" dataDxfId="4"/>
    <tableColumn id="11" name="female_candidates" dataDxfId="3"/>
    <tableColumn id="12" name="other_candidat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67"/>
  <sheetViews>
    <sheetView tabSelected="1" workbookViewId="0">
      <selection activeCell="D17" sqref="D17"/>
    </sheetView>
  </sheetViews>
  <sheetFormatPr defaultColWidth="12.6640625" defaultRowHeight="15.75" customHeight="1" x14ac:dyDescent="0.25"/>
  <cols>
    <col min="1" max="1" width="40" bestFit="1" customWidth="1"/>
    <col min="2" max="2" width="50.33203125" bestFit="1" customWidth="1"/>
    <col min="3" max="3" width="15.33203125" customWidth="1"/>
    <col min="4" max="4" width="15.6640625" customWidth="1"/>
    <col min="5" max="5" width="11.33203125" customWidth="1"/>
    <col min="6" max="6" width="13.88671875" customWidth="1"/>
    <col min="7" max="7" width="12" customWidth="1"/>
    <col min="8" max="8" width="15.33203125" customWidth="1"/>
    <col min="9" max="9" width="23.5546875" customWidth="1"/>
    <col min="10" max="10" width="16.5546875" customWidth="1"/>
    <col min="11" max="11" width="18" customWidth="1"/>
    <col min="12" max="12" width="1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tr">
        <f ca="1">IFERROR(__xludf.DUMMYFUNCTION("GOOGLETRANSLATE(A2, ""ne"", ""en"")"),"National Independence Party")</f>
        <v>National Independence Party</v>
      </c>
      <c r="C2" s="1" t="b">
        <v>0</v>
      </c>
      <c r="D2" s="1">
        <v>163</v>
      </c>
      <c r="E2" s="1">
        <v>125</v>
      </c>
      <c r="F2" s="1">
        <v>76.69</v>
      </c>
      <c r="G2" s="1">
        <v>4650697</v>
      </c>
      <c r="H2" s="1">
        <v>44.34</v>
      </c>
      <c r="I2" s="1">
        <v>28532</v>
      </c>
      <c r="J2" s="1">
        <v>147</v>
      </c>
      <c r="K2" s="1">
        <v>16</v>
      </c>
      <c r="L2" s="1">
        <v>0</v>
      </c>
    </row>
    <row r="3" spans="1:12" x14ac:dyDescent="0.25">
      <c r="A3" s="1" t="s">
        <v>13</v>
      </c>
      <c r="B3" s="1" t="str">
        <f ca="1">IFERROR(__xludf.DUMMYFUNCTION("GOOGLETRANSLATE(A3, ""ne"", ""en"")"),"Nepali Congress")</f>
        <v>Nepali Congress</v>
      </c>
      <c r="C3" s="1" t="b">
        <v>0</v>
      </c>
      <c r="D3" s="1">
        <v>165</v>
      </c>
      <c r="E3" s="1">
        <v>18</v>
      </c>
      <c r="F3" s="1">
        <v>10.91</v>
      </c>
      <c r="G3" s="1">
        <v>1999137</v>
      </c>
      <c r="H3" s="1">
        <v>19.059999999999999</v>
      </c>
      <c r="I3" s="1">
        <v>12116</v>
      </c>
      <c r="J3" s="1">
        <v>154</v>
      </c>
      <c r="K3" s="1">
        <v>11</v>
      </c>
      <c r="L3" s="1">
        <v>0</v>
      </c>
    </row>
    <row r="4" spans="1:12" x14ac:dyDescent="0.25">
      <c r="A4" s="1" t="s">
        <v>14</v>
      </c>
      <c r="B4" s="1" t="str">
        <f ca="1">IFERROR(__xludf.DUMMYFUNCTION("GOOGLETRANSLATE(A4, ""ne"", ""en"")"),"Communist Party of Nepal (Unified Marxist-Leninist)")</f>
        <v>Communist Party of Nepal (Unified Marxist-Leninist)</v>
      </c>
      <c r="C4" s="1" t="b">
        <v>0</v>
      </c>
      <c r="D4" s="1">
        <v>164</v>
      </c>
      <c r="E4" s="1">
        <v>9</v>
      </c>
      <c r="F4" s="1">
        <v>5.49</v>
      </c>
      <c r="G4" s="1">
        <v>1613844</v>
      </c>
      <c r="H4" s="1">
        <v>15.39</v>
      </c>
      <c r="I4" s="1">
        <v>9841</v>
      </c>
      <c r="J4" s="1">
        <v>154</v>
      </c>
      <c r="K4" s="1">
        <v>10</v>
      </c>
      <c r="L4" s="1">
        <v>0</v>
      </c>
    </row>
    <row r="5" spans="1:12" x14ac:dyDescent="0.25">
      <c r="A5" s="1" t="s">
        <v>15</v>
      </c>
      <c r="B5" s="1" t="str">
        <f ca="1">IFERROR(__xludf.DUMMYFUNCTION("GOOGLETRANSLATE(A5, ""ne"", ""en"")"),"Nepali Communist Party")</f>
        <v>Nepali Communist Party</v>
      </c>
      <c r="C5" s="1" t="b">
        <v>0</v>
      </c>
      <c r="D5" s="1">
        <v>164</v>
      </c>
      <c r="E5" s="1">
        <v>7</v>
      </c>
      <c r="F5" s="1">
        <v>4.2699999999999996</v>
      </c>
      <c r="G5" s="1">
        <v>965586</v>
      </c>
      <c r="H5" s="1">
        <v>9.2100000000000009</v>
      </c>
      <c r="I5" s="1">
        <v>5888</v>
      </c>
      <c r="J5" s="1">
        <v>152</v>
      </c>
      <c r="K5" s="1">
        <v>12</v>
      </c>
      <c r="L5" s="1">
        <v>0</v>
      </c>
    </row>
    <row r="6" spans="1:12" x14ac:dyDescent="0.25">
      <c r="A6" s="1" t="s">
        <v>16</v>
      </c>
      <c r="B6" s="1" t="str">
        <f ca="1">IFERROR(__xludf.DUMMYFUNCTION("GOOGLETRANSLATE(A6, ""ne"", ""en"")"),"Labor Culture Party")</f>
        <v>Labor Culture Party</v>
      </c>
      <c r="C6" s="1" t="b">
        <v>0</v>
      </c>
      <c r="D6" s="1">
        <v>109</v>
      </c>
      <c r="E6" s="1">
        <v>3</v>
      </c>
      <c r="F6" s="1">
        <v>2.75</v>
      </c>
      <c r="G6" s="1">
        <v>303902</v>
      </c>
      <c r="H6" s="1">
        <v>2.9</v>
      </c>
      <c r="I6" s="1">
        <v>2788</v>
      </c>
      <c r="J6" s="1">
        <v>102</v>
      </c>
      <c r="K6" s="1">
        <v>7</v>
      </c>
      <c r="L6" s="1">
        <v>0</v>
      </c>
    </row>
    <row r="7" spans="1:12" x14ac:dyDescent="0.25">
      <c r="A7" s="1" t="s">
        <v>17</v>
      </c>
      <c r="B7" s="1" t="str">
        <f ca="1">IFERROR(__xludf.DUMMYFUNCTION("GOOGLETRANSLATE(A7, ""ne"", ""en"")"),"National Democratic Party")</f>
        <v>National Democratic Party</v>
      </c>
      <c r="C7" s="1" t="b">
        <v>0</v>
      </c>
      <c r="D7" s="1">
        <v>163</v>
      </c>
      <c r="E7" s="1">
        <v>1</v>
      </c>
      <c r="F7" s="1">
        <v>0.61</v>
      </c>
      <c r="G7" s="1">
        <v>203541</v>
      </c>
      <c r="H7" s="1">
        <v>1.94</v>
      </c>
      <c r="I7" s="1">
        <v>1249</v>
      </c>
      <c r="J7" s="1">
        <v>155</v>
      </c>
      <c r="K7" s="1">
        <v>8</v>
      </c>
      <c r="L7" s="1">
        <v>0</v>
      </c>
    </row>
    <row r="8" spans="1:12" x14ac:dyDescent="0.25">
      <c r="A8" s="1" t="s">
        <v>18</v>
      </c>
      <c r="B8" s="1" t="str">
        <f ca="1">IFERROR(__xludf.DUMMYFUNCTION("GOOGLETRANSLATE(A8, ""ne"", ""en"")"),"Independent")</f>
        <v>Independent</v>
      </c>
      <c r="C8" s="1" t="b">
        <v>1</v>
      </c>
      <c r="D8" s="1">
        <v>1143</v>
      </c>
      <c r="E8" s="1">
        <v>1</v>
      </c>
      <c r="F8" s="1">
        <v>0.09</v>
      </c>
      <c r="G8" s="1">
        <v>102116</v>
      </c>
      <c r="H8" s="1">
        <v>0.97</v>
      </c>
      <c r="I8" s="1">
        <v>89</v>
      </c>
      <c r="J8" s="1">
        <v>986</v>
      </c>
      <c r="K8" s="1">
        <v>157</v>
      </c>
      <c r="L8" s="1">
        <v>0</v>
      </c>
    </row>
    <row r="9" spans="1:12" x14ac:dyDescent="0.25">
      <c r="A9" s="1" t="s">
        <v>19</v>
      </c>
      <c r="B9" s="1" t="str">
        <f ca="1">IFERROR(__xludf.DUMMYFUNCTION("GOOGLETRANSLATE(A9, ""ne"", ""en"")"),"Ujjaya Nepal Party")</f>
        <v>Ujjaya Nepal Party</v>
      </c>
      <c r="C9" s="1" t="b">
        <v>0</v>
      </c>
      <c r="D9" s="1">
        <v>105</v>
      </c>
      <c r="E9" s="1">
        <v>0</v>
      </c>
      <c r="F9" s="1">
        <v>0</v>
      </c>
      <c r="G9" s="1">
        <v>115608</v>
      </c>
      <c r="H9" s="1">
        <v>1.1000000000000001</v>
      </c>
      <c r="I9" s="1">
        <v>1101</v>
      </c>
      <c r="J9" s="1">
        <v>99</v>
      </c>
      <c r="K9" s="1">
        <v>6</v>
      </c>
      <c r="L9" s="1">
        <v>0</v>
      </c>
    </row>
    <row r="10" spans="1:12" x14ac:dyDescent="0.25">
      <c r="A10" s="1" t="s">
        <v>20</v>
      </c>
      <c r="B10" s="1" t="str">
        <f ca="1">IFERROR(__xludf.DUMMYFUNCTION("GOOGLETRANSLATE(A10, ""ne"", ""en"")"),"Federal Democratic National Forum")</f>
        <v>Federal Democratic National Forum</v>
      </c>
      <c r="C10" s="1" t="b">
        <v>0</v>
      </c>
      <c r="D10" s="1">
        <v>23</v>
      </c>
      <c r="E10" s="1">
        <v>0</v>
      </c>
      <c r="F10" s="1">
        <v>0</v>
      </c>
      <c r="G10" s="1">
        <v>2129</v>
      </c>
      <c r="H10" s="1">
        <v>0.02</v>
      </c>
      <c r="I10" s="1">
        <v>93</v>
      </c>
      <c r="J10" s="1">
        <v>18</v>
      </c>
      <c r="K10" s="1">
        <v>5</v>
      </c>
      <c r="L10" s="1">
        <v>0</v>
      </c>
    </row>
    <row r="11" spans="1:12" x14ac:dyDescent="0.25">
      <c r="A11" s="1" t="s">
        <v>21</v>
      </c>
      <c r="B11" s="1" t="str">
        <f ca="1">IFERROR(__xludf.DUMMYFUNCTION("GOOGLETRANSLATE(A11, ""ne"", ""en"")"),"Communist Party of Nepal (Maoist)")</f>
        <v>Communist Party of Nepal (Maoist)</v>
      </c>
      <c r="C11" s="1" t="b">
        <v>0</v>
      </c>
      <c r="D11" s="1">
        <v>130</v>
      </c>
      <c r="E11" s="1">
        <v>0</v>
      </c>
      <c r="F11" s="1">
        <v>0</v>
      </c>
      <c r="G11" s="1">
        <v>31862</v>
      </c>
      <c r="H11" s="1">
        <v>0.3</v>
      </c>
      <c r="I11" s="1">
        <v>245</v>
      </c>
      <c r="J11" s="1">
        <v>126</v>
      </c>
      <c r="K11" s="1">
        <v>4</v>
      </c>
      <c r="L11" s="1">
        <v>0</v>
      </c>
    </row>
    <row r="12" spans="1:12" x14ac:dyDescent="0.25">
      <c r="A12" s="1" t="s">
        <v>22</v>
      </c>
      <c r="B12" s="1" t="str">
        <f ca="1">IFERROR(__xludf.DUMMYFUNCTION("GOOGLETRANSLATE(A12, ""ne"", ""en"")"),"Janata Samajwadi Party (single election symbol)")</f>
        <v>Janata Samajwadi Party (single election symbol)</v>
      </c>
      <c r="C12" s="1" t="b">
        <v>0</v>
      </c>
      <c r="D12" s="1">
        <v>19</v>
      </c>
      <c r="E12" s="1">
        <v>0</v>
      </c>
      <c r="F12" s="1">
        <v>0</v>
      </c>
      <c r="G12" s="1">
        <v>3154</v>
      </c>
      <c r="H12" s="1">
        <v>0.03</v>
      </c>
      <c r="I12" s="1">
        <v>166</v>
      </c>
      <c r="J12" s="1">
        <v>18</v>
      </c>
      <c r="K12" s="1">
        <v>1</v>
      </c>
      <c r="L12" s="1">
        <v>0</v>
      </c>
    </row>
    <row r="13" spans="1:12" x14ac:dyDescent="0.25">
      <c r="A13" s="1" t="s">
        <v>23</v>
      </c>
      <c r="B13" s="1" t="str">
        <f ca="1">IFERROR(__xludf.DUMMYFUNCTION("GOOGLETRANSLATE(A13, ""ne"", ""en"")"),"Janata Samajwadi Party, Nepal")</f>
        <v>Janata Samajwadi Party, Nepal</v>
      </c>
      <c r="C13" s="1" t="b">
        <v>0</v>
      </c>
      <c r="D13" s="1">
        <v>94</v>
      </c>
      <c r="E13" s="1">
        <v>0</v>
      </c>
      <c r="F13" s="1">
        <v>0</v>
      </c>
      <c r="G13" s="1">
        <v>189158</v>
      </c>
      <c r="H13" s="1">
        <v>1.8</v>
      </c>
      <c r="I13" s="1">
        <v>2012</v>
      </c>
      <c r="J13" s="1">
        <v>86</v>
      </c>
      <c r="K13" s="1">
        <v>8</v>
      </c>
      <c r="L13" s="1">
        <v>0</v>
      </c>
    </row>
    <row r="14" spans="1:12" x14ac:dyDescent="0.25">
      <c r="A14" s="1" t="s">
        <v>24</v>
      </c>
      <c r="B14" s="1" t="str">
        <f ca="1">IFERROR(__xludf.DUMMYFUNCTION("GOOGLETRANSLATE(A14, ""ne"", ""en"")"),"Mongol National Organization")</f>
        <v>Mongol National Organization</v>
      </c>
      <c r="C14" s="1" t="b">
        <v>0</v>
      </c>
      <c r="D14" s="1">
        <v>113</v>
      </c>
      <c r="E14" s="1">
        <v>0</v>
      </c>
      <c r="F14" s="1">
        <v>0</v>
      </c>
      <c r="G14" s="1">
        <v>17822</v>
      </c>
      <c r="H14" s="1">
        <v>0.17</v>
      </c>
      <c r="I14" s="1">
        <v>158</v>
      </c>
      <c r="J14" s="1">
        <v>98</v>
      </c>
      <c r="K14" s="1">
        <v>15</v>
      </c>
      <c r="L14" s="1">
        <v>0</v>
      </c>
    </row>
    <row r="15" spans="1:12" x14ac:dyDescent="0.25">
      <c r="A15" s="1" t="s">
        <v>25</v>
      </c>
      <c r="B15" s="1" t="str">
        <f ca="1">IFERROR(__xludf.DUMMYFUNCTION("GOOGLETRANSLATE(A15, ""ne"", ""en"")"),"Nepal Janmukti Party")</f>
        <v>Nepal Janmukti Party</v>
      </c>
      <c r="C15" s="1" t="b">
        <v>0</v>
      </c>
      <c r="D15" s="1">
        <v>18</v>
      </c>
      <c r="E15" s="1">
        <v>0</v>
      </c>
      <c r="F15" s="1">
        <v>0</v>
      </c>
      <c r="G15" s="1">
        <v>835</v>
      </c>
      <c r="H15" s="1">
        <v>0.01</v>
      </c>
      <c r="I15" s="1">
        <v>46</v>
      </c>
      <c r="J15" s="1">
        <v>17</v>
      </c>
      <c r="K15" s="1">
        <v>1</v>
      </c>
      <c r="L15" s="1">
        <v>0</v>
      </c>
    </row>
    <row r="16" spans="1:12" x14ac:dyDescent="0.25">
      <c r="A16" s="1" t="s">
        <v>26</v>
      </c>
      <c r="B16" s="1" t="str">
        <f ca="1">IFERROR(__xludf.DUMMYFUNCTION("GOOGLETRANSLATE(A16, ""ne"", ""en"")"),"National Change Party")</f>
        <v>National Change Party</v>
      </c>
      <c r="C16" s="1" t="b">
        <v>0</v>
      </c>
      <c r="D16" s="1">
        <v>17</v>
      </c>
      <c r="E16" s="1">
        <v>0</v>
      </c>
      <c r="F16" s="1">
        <v>0</v>
      </c>
      <c r="G16" s="1">
        <v>10006</v>
      </c>
      <c r="H16" s="1">
        <v>0.1</v>
      </c>
      <c r="I16" s="1">
        <v>589</v>
      </c>
      <c r="J16" s="1">
        <v>15</v>
      </c>
      <c r="K16" s="1">
        <v>2</v>
      </c>
      <c r="L16" s="1">
        <v>0</v>
      </c>
    </row>
    <row r="17" spans="1:12" x14ac:dyDescent="0.25">
      <c r="A17" s="1" t="s">
        <v>27</v>
      </c>
      <c r="B17" s="1" t="str">
        <f ca="1">IFERROR(__xludf.DUMMYFUNCTION("GOOGLETRANSLATE(A17, ""ne"", ""en"")"),"National Liberation Party Nepal (single election symbol)")</f>
        <v>National Liberation Party Nepal (single election symbol)</v>
      </c>
      <c r="C17" s="1" t="b">
        <v>0</v>
      </c>
      <c r="D17" s="1">
        <v>33</v>
      </c>
      <c r="E17" s="1">
        <v>0</v>
      </c>
      <c r="F17" s="1">
        <v>0</v>
      </c>
      <c r="G17" s="1">
        <v>14668</v>
      </c>
      <c r="H17" s="1">
        <v>0.14000000000000001</v>
      </c>
      <c r="I17" s="1">
        <v>444</v>
      </c>
      <c r="J17" s="1">
        <v>30</v>
      </c>
      <c r="K17" s="1">
        <v>3</v>
      </c>
      <c r="L17" s="1">
        <v>0</v>
      </c>
    </row>
    <row r="18" spans="1:12" x14ac:dyDescent="0.25">
      <c r="A18" s="1" t="s">
        <v>28</v>
      </c>
      <c r="B18" s="1" t="str">
        <f ca="1">IFERROR(__xludf.DUMMYFUNCTION("GOOGLETRANSLATE(A18, ""ne"", ""en"")"),"Progressive Democratic Party")</f>
        <v>Progressive Democratic Party</v>
      </c>
      <c r="C18" s="1" t="b">
        <v>0</v>
      </c>
      <c r="D18" s="1">
        <v>82</v>
      </c>
      <c r="E18" s="1">
        <v>0</v>
      </c>
      <c r="F18" s="1">
        <v>0</v>
      </c>
      <c r="G18" s="1">
        <v>24939</v>
      </c>
      <c r="H18" s="1">
        <v>0.24</v>
      </c>
      <c r="I18" s="1">
        <v>304</v>
      </c>
      <c r="J18" s="1">
        <v>80</v>
      </c>
      <c r="K18" s="1">
        <v>2</v>
      </c>
      <c r="L18" s="1">
        <v>0</v>
      </c>
    </row>
    <row r="19" spans="1:12" x14ac:dyDescent="0.25">
      <c r="A19" s="1" t="s">
        <v>29</v>
      </c>
      <c r="B19" s="1" t="str">
        <f ca="1">IFERROR(__xludf.DUMMYFUNCTION("GOOGLETRANSLATE(A19, ""ne"", ""en"")"),"Nepal Labor Farmers Party")</f>
        <v>Nepal Labor Farmers Party</v>
      </c>
      <c r="C19" s="1" t="b">
        <v>0</v>
      </c>
      <c r="D19" s="1">
        <v>120</v>
      </c>
      <c r="E19" s="1">
        <v>0</v>
      </c>
      <c r="F19" s="1">
        <v>0</v>
      </c>
      <c r="G19" s="1">
        <v>41018</v>
      </c>
      <c r="H19" s="1">
        <v>0.39</v>
      </c>
      <c r="I19" s="1">
        <v>342</v>
      </c>
      <c r="J19" s="1">
        <v>66</v>
      </c>
      <c r="K19" s="1">
        <v>54</v>
      </c>
      <c r="L19" s="1">
        <v>0</v>
      </c>
    </row>
    <row r="20" spans="1:12" x14ac:dyDescent="0.25">
      <c r="A20" s="1" t="s">
        <v>30</v>
      </c>
      <c r="B20" s="1" t="str">
        <f ca="1">IFERROR(__xludf.DUMMYFUNCTION("GOOGLETRANSLATE(A20, ""ne"", ""en"")"),"National People's Liberation Party")</f>
        <v>National People's Liberation Party</v>
      </c>
      <c r="C20" s="1" t="b">
        <v>0</v>
      </c>
      <c r="D20" s="1">
        <v>17</v>
      </c>
      <c r="E20" s="1">
        <v>0</v>
      </c>
      <c r="F20" s="1">
        <v>0</v>
      </c>
      <c r="G20" s="1">
        <v>3599</v>
      </c>
      <c r="H20" s="1">
        <v>0.03</v>
      </c>
      <c r="I20" s="1">
        <v>212</v>
      </c>
      <c r="J20" s="1">
        <v>13</v>
      </c>
      <c r="K20" s="1">
        <v>4</v>
      </c>
      <c r="L20" s="1">
        <v>0</v>
      </c>
    </row>
    <row r="21" spans="1:12" x14ac:dyDescent="0.25">
      <c r="A21" s="1" t="s">
        <v>31</v>
      </c>
      <c r="B21" s="1" t="str">
        <f ca="1">IFERROR(__xludf.DUMMYFUNCTION("GOOGLETRANSLATE(A21, ""ne"", ""en"")"),"Nepal Sadbhavana Party")</f>
        <v>Nepal Sadbhavana Party</v>
      </c>
      <c r="C21" s="1" t="b">
        <v>0</v>
      </c>
      <c r="D21" s="1">
        <v>1</v>
      </c>
      <c r="E21" s="1">
        <v>0</v>
      </c>
      <c r="F21" s="1">
        <v>0</v>
      </c>
      <c r="G21" s="1">
        <v>109</v>
      </c>
      <c r="H21" s="1">
        <v>0</v>
      </c>
      <c r="I21" s="1">
        <v>109</v>
      </c>
      <c r="J21" s="1">
        <v>1</v>
      </c>
      <c r="K21" s="1">
        <v>0</v>
      </c>
      <c r="L21" s="1">
        <v>0</v>
      </c>
    </row>
    <row r="22" spans="1:12" x14ac:dyDescent="0.25">
      <c r="A22" s="1" t="s">
        <v>32</v>
      </c>
      <c r="B22" s="1" t="str">
        <f ca="1">IFERROR(__xludf.DUMMYFUNCTION("GOOGLETRANSLATE(A22, ""ne"", ""en"")"),"People's Party")</f>
        <v>People's Party</v>
      </c>
      <c r="C22" s="1" t="b">
        <v>0</v>
      </c>
      <c r="D22" s="1">
        <v>61</v>
      </c>
      <c r="E22" s="1">
        <v>0</v>
      </c>
      <c r="F22" s="1">
        <v>0</v>
      </c>
      <c r="G22" s="1">
        <v>61360</v>
      </c>
      <c r="H22" s="1">
        <v>0.59</v>
      </c>
      <c r="I22" s="1">
        <v>1006</v>
      </c>
      <c r="J22" s="1">
        <v>57</v>
      </c>
      <c r="K22" s="1">
        <v>4</v>
      </c>
      <c r="L22" s="1">
        <v>0</v>
      </c>
    </row>
    <row r="23" spans="1:12" x14ac:dyDescent="0.25">
      <c r="A23" s="1" t="s">
        <v>33</v>
      </c>
      <c r="B23" s="1" t="str">
        <f ca="1">IFERROR(__xludf.DUMMYFUNCTION("GOOGLETRANSLATE(A23, ""ne"", ""en"")"),"Communist Party of Nepal (United)")</f>
        <v>Communist Party of Nepal (United)</v>
      </c>
      <c r="C23" s="1" t="b">
        <v>0</v>
      </c>
      <c r="D23" s="1">
        <v>35</v>
      </c>
      <c r="E23" s="1">
        <v>0</v>
      </c>
      <c r="F23" s="1">
        <v>0</v>
      </c>
      <c r="G23" s="1">
        <v>1680</v>
      </c>
      <c r="H23" s="1">
        <v>0.02</v>
      </c>
      <c r="I23" s="1">
        <v>48</v>
      </c>
      <c r="J23" s="1">
        <v>34</v>
      </c>
      <c r="K23" s="1">
        <v>1</v>
      </c>
      <c r="L23" s="1">
        <v>0</v>
      </c>
    </row>
    <row r="24" spans="1:12" x14ac:dyDescent="0.25">
      <c r="A24" s="1" t="s">
        <v>34</v>
      </c>
      <c r="B24" s="1" t="str">
        <f ca="1">IFERROR(__xludf.DUMMYFUNCTION("GOOGLETRANSLATE(A24, ""ne"", ""en"")"),"National Republic of Nepal")</f>
        <v>National Republic of Nepal</v>
      </c>
      <c r="C24" s="1" t="b">
        <v>0</v>
      </c>
      <c r="D24" s="1">
        <v>46</v>
      </c>
      <c r="E24" s="1">
        <v>0</v>
      </c>
      <c r="F24" s="1">
        <v>0</v>
      </c>
      <c r="G24" s="1">
        <v>4862</v>
      </c>
      <c r="H24" s="1">
        <v>0.05</v>
      </c>
      <c r="I24" s="1">
        <v>106</v>
      </c>
      <c r="J24" s="1">
        <v>42</v>
      </c>
      <c r="K24" s="1">
        <v>4</v>
      </c>
      <c r="L24" s="1">
        <v>0</v>
      </c>
    </row>
    <row r="25" spans="1:12" x14ac:dyDescent="0.25">
      <c r="A25" s="1" t="s">
        <v>35</v>
      </c>
      <c r="B25" s="1" t="str">
        <f ca="1">IFERROR(__xludf.DUMMYFUNCTION("GOOGLETRANSLATE(A25, ""ne"", ""en"")"),"Communist Party of Nepal (Marxist) (Pushpalal)")</f>
        <v>Communist Party of Nepal (Marxist) (Pushpalal)</v>
      </c>
      <c r="C25" s="1" t="b">
        <v>0</v>
      </c>
      <c r="D25" s="1">
        <v>4</v>
      </c>
      <c r="E25" s="1">
        <v>0</v>
      </c>
      <c r="F25" s="1">
        <v>0</v>
      </c>
      <c r="G25" s="1">
        <v>408</v>
      </c>
      <c r="H25" s="1">
        <v>0</v>
      </c>
      <c r="I25" s="1">
        <v>102</v>
      </c>
      <c r="J25" s="1">
        <v>4</v>
      </c>
      <c r="K25" s="1">
        <v>0</v>
      </c>
      <c r="L25" s="1">
        <v>0</v>
      </c>
    </row>
    <row r="26" spans="1:12" x14ac:dyDescent="0.25">
      <c r="A26" s="1" t="s">
        <v>36</v>
      </c>
      <c r="B26" s="1" t="str">
        <f ca="1">IFERROR(__xludf.DUMMYFUNCTION("GOOGLETRANSLATE(A26, ""ne"", ""en"")"),"People First Party")</f>
        <v>People First Party</v>
      </c>
      <c r="C26" s="1" t="b">
        <v>0</v>
      </c>
      <c r="D26" s="1">
        <v>3</v>
      </c>
      <c r="E26" s="1">
        <v>0</v>
      </c>
      <c r="F26" s="1">
        <v>0</v>
      </c>
      <c r="G26" s="1">
        <v>369</v>
      </c>
      <c r="H26" s="1">
        <v>0</v>
      </c>
      <c r="I26" s="1">
        <v>123</v>
      </c>
      <c r="J26" s="1">
        <v>3</v>
      </c>
      <c r="K26" s="1">
        <v>0</v>
      </c>
      <c r="L26" s="1">
        <v>0</v>
      </c>
    </row>
    <row r="27" spans="1:12" x14ac:dyDescent="0.25">
      <c r="A27" s="1" t="s">
        <v>37</v>
      </c>
      <c r="B27" s="1" t="str">
        <f ca="1">IFERROR(__xludf.DUMMYFUNCTION("GOOGLETRANSLATE(A27, ""ne"", ""en"")"),"National People's Front")</f>
        <v>National People's Front</v>
      </c>
      <c r="C27" s="1" t="b">
        <v>0</v>
      </c>
      <c r="D27" s="1">
        <v>70</v>
      </c>
      <c r="E27" s="1">
        <v>0</v>
      </c>
      <c r="F27" s="1">
        <v>0</v>
      </c>
      <c r="G27" s="1">
        <v>24793</v>
      </c>
      <c r="H27" s="1">
        <v>0.24</v>
      </c>
      <c r="I27" s="1">
        <v>354</v>
      </c>
      <c r="J27" s="1">
        <v>61</v>
      </c>
      <c r="K27" s="1">
        <v>9</v>
      </c>
      <c r="L27" s="1">
        <v>0</v>
      </c>
    </row>
    <row r="28" spans="1:12" x14ac:dyDescent="0.25">
      <c r="A28" s="1" t="s">
        <v>38</v>
      </c>
      <c r="B28" s="1" t="str">
        <f ca="1">IFERROR(__xludf.DUMMYFUNCTION("GOOGLETRANSLATE(A28, ""ne"", ""en"")"),"Nepali Janashramdan Culture Party")</f>
        <v>Nepali Janashramdan Culture Party</v>
      </c>
      <c r="C28" s="1" t="b">
        <v>0</v>
      </c>
      <c r="D28" s="1">
        <v>2</v>
      </c>
      <c r="E28" s="1">
        <v>0</v>
      </c>
      <c r="F28" s="1">
        <v>0</v>
      </c>
      <c r="G28" s="1">
        <v>172</v>
      </c>
      <c r="H28" s="1">
        <v>0</v>
      </c>
      <c r="I28" s="1">
        <v>86</v>
      </c>
      <c r="J28" s="1">
        <v>2</v>
      </c>
      <c r="K28" s="1">
        <v>0</v>
      </c>
      <c r="L28" s="1">
        <v>0</v>
      </c>
    </row>
    <row r="29" spans="1:12" x14ac:dyDescent="0.25">
      <c r="A29" s="1" t="s">
        <v>39</v>
      </c>
      <c r="B29" s="1" t="str">
        <f ca="1">IFERROR(__xludf.DUMMYFUNCTION("GOOGLETRANSLATE(A29, ""ne"", ""en"")"),"Aam Janata Party (Single Election Symbol)")</f>
        <v>Aam Janata Party (Single Election Symbol)</v>
      </c>
      <c r="C29" s="1" t="b">
        <v>0</v>
      </c>
      <c r="D29" s="1">
        <v>98</v>
      </c>
      <c r="E29" s="1">
        <v>0</v>
      </c>
      <c r="F29" s="1">
        <v>0</v>
      </c>
      <c r="G29" s="1">
        <v>19632</v>
      </c>
      <c r="H29" s="1">
        <v>0.19</v>
      </c>
      <c r="I29" s="1">
        <v>200</v>
      </c>
      <c r="J29" s="1">
        <v>73</v>
      </c>
      <c r="K29" s="1">
        <v>25</v>
      </c>
      <c r="L29" s="1">
        <v>0</v>
      </c>
    </row>
    <row r="30" spans="1:12" x14ac:dyDescent="0.25">
      <c r="A30" s="1" t="s">
        <v>40</v>
      </c>
      <c r="B30" s="1" t="str">
        <f ca="1">IFERROR(__xludf.DUMMYFUNCTION("GOOGLETRANSLATE(A30, ""ne"", ""en"")"),"Friendship Party Nepal")</f>
        <v>Friendship Party Nepal</v>
      </c>
      <c r="C30" s="1" t="b">
        <v>0</v>
      </c>
      <c r="D30" s="1">
        <v>29</v>
      </c>
      <c r="E30" s="1">
        <v>0</v>
      </c>
      <c r="F30" s="1">
        <v>0</v>
      </c>
      <c r="G30" s="1">
        <v>383</v>
      </c>
      <c r="H30" s="1">
        <v>0</v>
      </c>
      <c r="I30" s="1">
        <v>13</v>
      </c>
      <c r="J30" s="1">
        <v>23</v>
      </c>
      <c r="K30" s="1">
        <v>6</v>
      </c>
      <c r="L30" s="1">
        <v>0</v>
      </c>
    </row>
    <row r="31" spans="1:12" x14ac:dyDescent="0.25">
      <c r="A31" s="1" t="s">
        <v>41</v>
      </c>
      <c r="B31" s="1" t="str">
        <f ca="1">IFERROR(__xludf.DUMMYFUNCTION("GOOGLETRANSLATE(A31, ""ne"", ""en"")"),"National Energetic Party, Nepal")</f>
        <v>National Energetic Party, Nepal</v>
      </c>
      <c r="C31" s="1" t="b">
        <v>0</v>
      </c>
      <c r="D31" s="1">
        <v>3</v>
      </c>
      <c r="E31" s="1">
        <v>0</v>
      </c>
      <c r="F31" s="1">
        <v>0</v>
      </c>
      <c r="G31" s="1">
        <v>4304</v>
      </c>
      <c r="H31" s="1">
        <v>0.04</v>
      </c>
      <c r="I31" s="1">
        <v>1435</v>
      </c>
      <c r="J31" s="1">
        <v>3</v>
      </c>
      <c r="K31" s="1">
        <v>0</v>
      </c>
      <c r="L31" s="1">
        <v>0</v>
      </c>
    </row>
    <row r="32" spans="1:12" x14ac:dyDescent="0.25">
      <c r="A32" s="1" t="s">
        <v>42</v>
      </c>
      <c r="B32" s="1" t="str">
        <f ca="1">IFERROR(__xludf.DUMMYFUNCTION("GOOGLETRANSLATE(A32, ""ne"", ""en"")"),"United Citizens Party")</f>
        <v>United Citizens Party</v>
      </c>
      <c r="C32" s="1" t="b">
        <v>0</v>
      </c>
      <c r="D32" s="1">
        <v>21</v>
      </c>
      <c r="E32" s="1">
        <v>0</v>
      </c>
      <c r="F32" s="1">
        <v>0</v>
      </c>
      <c r="G32" s="1">
        <v>1866</v>
      </c>
      <c r="H32" s="1">
        <v>0.02</v>
      </c>
      <c r="I32" s="1">
        <v>89</v>
      </c>
      <c r="J32" s="1">
        <v>21</v>
      </c>
      <c r="K32" s="1">
        <v>0</v>
      </c>
      <c r="L32" s="1">
        <v>0</v>
      </c>
    </row>
    <row r="33" spans="1:12" x14ac:dyDescent="0.25">
      <c r="A33" s="1" t="s">
        <v>43</v>
      </c>
      <c r="B33" s="1" t="str">
        <f ca="1">IFERROR(__xludf.DUMMYFUNCTION("GOOGLETRANSLATE(A33, ""ne"", ""en"")"),"Jai Matrubhoomi Party")</f>
        <v>Jai Matrubhoomi Party</v>
      </c>
      <c r="C33" s="1" t="b">
        <v>0</v>
      </c>
      <c r="D33" s="1">
        <v>14</v>
      </c>
      <c r="E33" s="1">
        <v>0</v>
      </c>
      <c r="F33" s="1">
        <v>0</v>
      </c>
      <c r="G33" s="1">
        <v>707</v>
      </c>
      <c r="H33" s="1">
        <v>0.01</v>
      </c>
      <c r="I33" s="1">
        <v>50</v>
      </c>
      <c r="J33" s="1">
        <v>14</v>
      </c>
      <c r="K33" s="1">
        <v>0</v>
      </c>
      <c r="L33" s="1">
        <v>0</v>
      </c>
    </row>
    <row r="34" spans="1:12" x14ac:dyDescent="0.25">
      <c r="A34" s="1" t="s">
        <v>44</v>
      </c>
      <c r="B34" s="1" t="str">
        <f ca="1">IFERROR(__xludf.DUMMYFUNCTION("GOOGLETRANSLATE(A34, ""ne"", ""en"")"),"Nation Building Party Nepal")</f>
        <v>Nation Building Party Nepal</v>
      </c>
      <c r="C34" s="1" t="b">
        <v>0</v>
      </c>
      <c r="D34" s="1">
        <v>13</v>
      </c>
      <c r="E34" s="1">
        <v>0</v>
      </c>
      <c r="F34" s="1">
        <v>0</v>
      </c>
      <c r="G34" s="1">
        <v>5030</v>
      </c>
      <c r="H34" s="1">
        <v>0.05</v>
      </c>
      <c r="I34" s="1">
        <v>387</v>
      </c>
      <c r="J34" s="1">
        <v>10</v>
      </c>
      <c r="K34" s="1">
        <v>3</v>
      </c>
      <c r="L34" s="1">
        <v>0</v>
      </c>
    </row>
    <row r="35" spans="1:12" x14ac:dyDescent="0.25">
      <c r="A35" s="1" t="s">
        <v>45</v>
      </c>
      <c r="B35" s="1" t="str">
        <f ca="1">IFERROR(__xludf.DUMMYFUNCTION("GOOGLETRANSLATE(A35, ""ne"", ""en"")"),"Inclusive Socialist Party")</f>
        <v>Inclusive Socialist Party</v>
      </c>
      <c r="C35" s="1" t="b">
        <v>0</v>
      </c>
      <c r="D35" s="1">
        <v>6</v>
      </c>
      <c r="E35" s="1">
        <v>0</v>
      </c>
      <c r="F35" s="1">
        <v>0</v>
      </c>
      <c r="G35" s="1">
        <v>234</v>
      </c>
      <c r="H35" s="1">
        <v>0</v>
      </c>
      <c r="I35" s="1">
        <v>39</v>
      </c>
      <c r="J35" s="1">
        <v>4</v>
      </c>
      <c r="K35" s="1">
        <v>1</v>
      </c>
      <c r="L35" s="1">
        <v>1</v>
      </c>
    </row>
    <row r="36" spans="1:12" x14ac:dyDescent="0.25">
      <c r="A36" s="1" t="s">
        <v>46</v>
      </c>
      <c r="B36" s="1" t="str">
        <f ca="1">IFERROR(__xludf.DUMMYFUNCTION("GOOGLETRANSLATE(A36, ""ne"", ""en"")"),"Civil Liberties Party, Nepal (single election symbol)")</f>
        <v>Civil Liberties Party, Nepal (single election symbol)</v>
      </c>
      <c r="C36" s="1" t="b">
        <v>0</v>
      </c>
      <c r="D36" s="1">
        <v>26</v>
      </c>
      <c r="E36" s="1">
        <v>0</v>
      </c>
      <c r="F36" s="1">
        <v>0</v>
      </c>
      <c r="G36" s="1">
        <v>32227</v>
      </c>
      <c r="H36" s="1">
        <v>0.31</v>
      </c>
      <c r="I36" s="1">
        <v>1240</v>
      </c>
      <c r="J36" s="1">
        <v>22</v>
      </c>
      <c r="K36" s="1">
        <v>4</v>
      </c>
      <c r="L36" s="1">
        <v>0</v>
      </c>
    </row>
    <row r="37" spans="1:12" x14ac:dyDescent="0.25">
      <c r="A37" s="1" t="s">
        <v>47</v>
      </c>
      <c r="B37" s="1" t="str">
        <f ca="1">IFERROR(__xludf.DUMMYFUNCTION("GOOGLETRANSLATE(A37, ""ne"", ""en"")"),"Sovereign Citizens Party")</f>
        <v>Sovereign Citizens Party</v>
      </c>
      <c r="C37" s="1" t="b">
        <v>0</v>
      </c>
      <c r="D37" s="1">
        <v>6</v>
      </c>
      <c r="E37" s="1">
        <v>0</v>
      </c>
      <c r="F37" s="1">
        <v>0</v>
      </c>
      <c r="G37" s="1">
        <v>1716</v>
      </c>
      <c r="H37" s="1">
        <v>0.02</v>
      </c>
      <c r="I37" s="1">
        <v>286</v>
      </c>
      <c r="J37" s="1">
        <v>5</v>
      </c>
      <c r="K37" s="1">
        <v>1</v>
      </c>
      <c r="L37" s="1">
        <v>0</v>
      </c>
    </row>
    <row r="38" spans="1:12" x14ac:dyDescent="0.25">
      <c r="A38" s="1" t="s">
        <v>48</v>
      </c>
      <c r="B38" s="1" t="str">
        <f ca="1">IFERROR(__xludf.DUMMYFUNCTION("GOOGLETRANSLATE(A38, ""ne"", ""en"")"),"National Joint Party")</f>
        <v>National Joint Party</v>
      </c>
      <c r="C38" s="1" t="b">
        <v>0</v>
      </c>
      <c r="D38" s="1">
        <v>1</v>
      </c>
      <c r="E38" s="1">
        <v>0</v>
      </c>
      <c r="F38" s="1">
        <v>0</v>
      </c>
      <c r="G38" s="1">
        <v>191</v>
      </c>
      <c r="H38" s="1">
        <v>0</v>
      </c>
      <c r="I38" s="1">
        <v>191</v>
      </c>
      <c r="J38" s="1">
        <v>1</v>
      </c>
      <c r="K38" s="1">
        <v>0</v>
      </c>
      <c r="L38" s="1">
        <v>0</v>
      </c>
    </row>
    <row r="39" spans="1:12" x14ac:dyDescent="0.25">
      <c r="A39" s="1" t="s">
        <v>49</v>
      </c>
      <c r="B39" s="1" t="str">
        <f ca="1">IFERROR(__xludf.DUMMYFUNCTION("GOOGLETRANSLATE(A39, ""ne"", ""en"")"),"Nepal Democratic Party")</f>
        <v>Nepal Democratic Party</v>
      </c>
      <c r="C39" s="1" t="b">
        <v>0</v>
      </c>
      <c r="D39" s="1">
        <v>5</v>
      </c>
      <c r="E39" s="1">
        <v>0</v>
      </c>
      <c r="F39" s="1">
        <v>0</v>
      </c>
      <c r="G39" s="1">
        <v>320</v>
      </c>
      <c r="H39" s="1">
        <v>0</v>
      </c>
      <c r="I39" s="1">
        <v>64</v>
      </c>
      <c r="J39" s="1">
        <v>5</v>
      </c>
      <c r="K39" s="1">
        <v>0</v>
      </c>
      <c r="L39" s="1">
        <v>0</v>
      </c>
    </row>
    <row r="40" spans="1:12" x14ac:dyDescent="0.25">
      <c r="A40" s="1" t="s">
        <v>50</v>
      </c>
      <c r="B40" s="1" t="str">
        <f ca="1">IFERROR(__xludf.DUMMYFUNCTION("GOOGLETRANSLATE(A40, ""ne"", ""en"")"),"Inclusive Socialist Party Nepal")</f>
        <v>Inclusive Socialist Party Nepal</v>
      </c>
      <c r="C40" s="1" t="b">
        <v>0</v>
      </c>
      <c r="D40" s="1">
        <v>2</v>
      </c>
      <c r="E40" s="1">
        <v>0</v>
      </c>
      <c r="F40" s="1">
        <v>0</v>
      </c>
      <c r="G40" s="1">
        <v>393</v>
      </c>
      <c r="H40" s="1">
        <v>0</v>
      </c>
      <c r="I40" s="1">
        <v>196</v>
      </c>
      <c r="J40" s="1">
        <v>2</v>
      </c>
      <c r="K40" s="1">
        <v>0</v>
      </c>
      <c r="L40" s="1">
        <v>0</v>
      </c>
    </row>
    <row r="41" spans="1:12" x14ac:dyDescent="0.25">
      <c r="A41" s="1" t="s">
        <v>51</v>
      </c>
      <c r="B41" s="1" t="str">
        <f ca="1">IFERROR(__xludf.DUMMYFUNCTION("GOOGLETRANSLATE(A41, ""ne"", ""en"")"),"Nepal Janata Party")</f>
        <v>Nepal Janata Party</v>
      </c>
      <c r="C41" s="1" t="b">
        <v>0</v>
      </c>
      <c r="D41" s="1">
        <v>20</v>
      </c>
      <c r="E41" s="1">
        <v>0</v>
      </c>
      <c r="F41" s="1">
        <v>0</v>
      </c>
      <c r="G41" s="1">
        <v>2537</v>
      </c>
      <c r="H41" s="1">
        <v>0.02</v>
      </c>
      <c r="I41" s="1">
        <v>127</v>
      </c>
      <c r="J41" s="1">
        <v>19</v>
      </c>
      <c r="K41" s="1">
        <v>1</v>
      </c>
      <c r="L41" s="1">
        <v>0</v>
      </c>
    </row>
    <row r="42" spans="1:12" x14ac:dyDescent="0.25">
      <c r="A42" s="1" t="s">
        <v>52</v>
      </c>
      <c r="B42" s="1" t="str">
        <f ca="1">IFERROR(__xludf.DUMMYFUNCTION("GOOGLETRANSLATE(A42, ""ne"", ""en"")"),"Nepali Janata Dal")</f>
        <v>Nepali Janata Dal</v>
      </c>
      <c r="C42" s="1" t="b">
        <v>0</v>
      </c>
      <c r="D42" s="1">
        <v>5</v>
      </c>
      <c r="E42" s="1">
        <v>0</v>
      </c>
      <c r="F42" s="1">
        <v>0</v>
      </c>
      <c r="G42" s="1">
        <v>256</v>
      </c>
      <c r="H42" s="1">
        <v>0</v>
      </c>
      <c r="I42" s="1">
        <v>51</v>
      </c>
      <c r="J42" s="1">
        <v>5</v>
      </c>
      <c r="K42" s="1">
        <v>0</v>
      </c>
      <c r="L42" s="1">
        <v>0</v>
      </c>
    </row>
    <row r="43" spans="1:12" x14ac:dyDescent="0.25">
      <c r="A43" s="1" t="s">
        <v>53</v>
      </c>
      <c r="B43" s="1" t="str">
        <f ca="1">IFERROR(__xludf.DUMMYFUNCTION("GOOGLETRANSLATE(A43, ""ne"", ""en"")"),"Citizen Supremacy Party Nepal (single election symbol)")</f>
        <v>Citizen Supremacy Party Nepal (single election symbol)</v>
      </c>
      <c r="C43" s="1" t="b">
        <v>0</v>
      </c>
      <c r="D43" s="1">
        <v>3</v>
      </c>
      <c r="E43" s="1">
        <v>0</v>
      </c>
      <c r="F43" s="1">
        <v>0</v>
      </c>
      <c r="G43" s="1">
        <v>120</v>
      </c>
      <c r="H43" s="1">
        <v>0</v>
      </c>
      <c r="I43" s="1">
        <v>40</v>
      </c>
      <c r="J43" s="1">
        <v>3</v>
      </c>
      <c r="K43" s="1">
        <v>0</v>
      </c>
      <c r="L43" s="1">
        <v>0</v>
      </c>
    </row>
    <row r="44" spans="1:12" x14ac:dyDescent="0.25">
      <c r="A44" s="1" t="s">
        <v>54</v>
      </c>
      <c r="B44" s="1" t="str">
        <f ca="1">IFERROR(__xludf.DUMMYFUNCTION("GOOGLETRANSLATE(A44, ""ne"", ""en"")"),"Swabhiman Party")</f>
        <v>Swabhiman Party</v>
      </c>
      <c r="C44" s="1" t="b">
        <v>0</v>
      </c>
      <c r="D44" s="1">
        <v>2</v>
      </c>
      <c r="E44" s="1">
        <v>0</v>
      </c>
      <c r="F44" s="1">
        <v>0</v>
      </c>
      <c r="G44" s="1">
        <v>11404</v>
      </c>
      <c r="H44" s="1">
        <v>0.11</v>
      </c>
      <c r="I44" s="1">
        <v>5702</v>
      </c>
      <c r="J44" s="1">
        <v>2</v>
      </c>
      <c r="K44" s="1">
        <v>0</v>
      </c>
      <c r="L44" s="1">
        <v>0</v>
      </c>
    </row>
    <row r="45" spans="1:12" x14ac:dyDescent="0.25">
      <c r="A45" s="1" t="s">
        <v>55</v>
      </c>
      <c r="B45" s="1" t="str">
        <f ca="1">IFERROR(__xludf.DUMMYFUNCTION("GOOGLETRANSLATE(A45, ""ne"", ""en"")"),"Nepal People's Protection Party")</f>
        <v>Nepal People's Protection Party</v>
      </c>
      <c r="C45" s="1" t="b">
        <v>0</v>
      </c>
      <c r="D45" s="1">
        <v>3</v>
      </c>
      <c r="E45" s="1">
        <v>0</v>
      </c>
      <c r="F45" s="1">
        <v>0</v>
      </c>
      <c r="G45" s="1">
        <v>588</v>
      </c>
      <c r="H45" s="1">
        <v>0.01</v>
      </c>
      <c r="I45" s="1">
        <v>196</v>
      </c>
      <c r="J45" s="1">
        <v>3</v>
      </c>
      <c r="K45" s="1">
        <v>0</v>
      </c>
      <c r="L45" s="1">
        <v>0</v>
      </c>
    </row>
    <row r="46" spans="1:12" x14ac:dyDescent="0.25">
      <c r="A46" s="1" t="s">
        <v>56</v>
      </c>
      <c r="B46" s="1" t="str">
        <f ca="1">IFERROR(__xludf.DUMMYFUNCTION("GOOGLETRANSLATE(A46, ""ne"", ""en"")"),"National Unity Party")</f>
        <v>National Unity Party</v>
      </c>
      <c r="C46" s="1" t="b">
        <v>0</v>
      </c>
      <c r="D46" s="1">
        <v>5</v>
      </c>
      <c r="E46" s="1">
        <v>0</v>
      </c>
      <c r="F46" s="1">
        <v>0</v>
      </c>
      <c r="G46" s="1">
        <v>1455</v>
      </c>
      <c r="H46" s="1">
        <v>0.01</v>
      </c>
      <c r="I46" s="1">
        <v>291</v>
      </c>
      <c r="J46" s="1">
        <v>5</v>
      </c>
      <c r="K46" s="1">
        <v>0</v>
      </c>
      <c r="L46" s="1">
        <v>0</v>
      </c>
    </row>
    <row r="47" spans="1:12" x14ac:dyDescent="0.25">
      <c r="A47" s="1" t="s">
        <v>57</v>
      </c>
      <c r="B47" s="1" t="str">
        <f ca="1">IFERROR(__xludf.DUMMYFUNCTION("GOOGLETRANSLATE(A47, ""ne"", ""en"")"),"People's Rights Party")</f>
        <v>People's Rights Party</v>
      </c>
      <c r="C47" s="1" t="b">
        <v>0</v>
      </c>
      <c r="D47" s="1">
        <v>6</v>
      </c>
      <c r="E47" s="1">
        <v>0</v>
      </c>
      <c r="F47" s="1">
        <v>0</v>
      </c>
      <c r="G47" s="1">
        <v>544</v>
      </c>
      <c r="H47" s="1">
        <v>0.01</v>
      </c>
      <c r="I47" s="1">
        <v>91</v>
      </c>
      <c r="J47" s="1">
        <v>6</v>
      </c>
      <c r="K47" s="1">
        <v>0</v>
      </c>
      <c r="L47" s="1">
        <v>0</v>
      </c>
    </row>
    <row r="48" spans="1:12" x14ac:dyDescent="0.25">
      <c r="A48" s="1" t="s">
        <v>58</v>
      </c>
      <c r="B48" s="1" t="str">
        <f ca="1">IFERROR(__xludf.DUMMYFUNCTION("GOOGLETRANSLATE(A48, ""ne"", ""en"")"),"Nepali Party for Nepal")</f>
        <v>Nepali Party for Nepal</v>
      </c>
      <c r="C48" s="1" t="b">
        <v>0</v>
      </c>
      <c r="D48" s="1">
        <v>10</v>
      </c>
      <c r="E48" s="1">
        <v>0</v>
      </c>
      <c r="F48" s="1">
        <v>0</v>
      </c>
      <c r="G48" s="1">
        <v>2881</v>
      </c>
      <c r="H48" s="1">
        <v>0.03</v>
      </c>
      <c r="I48" s="1">
        <v>288</v>
      </c>
      <c r="J48" s="1">
        <v>10</v>
      </c>
      <c r="K48" s="1">
        <v>0</v>
      </c>
      <c r="L48" s="1">
        <v>0</v>
      </c>
    </row>
    <row r="49" spans="1:12" x14ac:dyDescent="0.25">
      <c r="A49" s="1" t="s">
        <v>59</v>
      </c>
      <c r="B49" s="1" t="str">
        <f ca="1">IFERROR(__xludf.DUMMYFUNCTION("GOOGLETRANSLATE(A49, ""ne"", ""en"")"),"People's Democratic Party, Nepal")</f>
        <v>People's Democratic Party, Nepal</v>
      </c>
      <c r="C49" s="1" t="b">
        <v>0</v>
      </c>
      <c r="D49" s="1">
        <v>4</v>
      </c>
      <c r="E49" s="1">
        <v>0</v>
      </c>
      <c r="F49" s="1">
        <v>0</v>
      </c>
      <c r="G49" s="1">
        <v>77</v>
      </c>
      <c r="H49" s="1">
        <v>0</v>
      </c>
      <c r="I49" s="1">
        <v>19</v>
      </c>
      <c r="J49" s="1">
        <v>4</v>
      </c>
      <c r="K49" s="1">
        <v>0</v>
      </c>
      <c r="L49" s="1">
        <v>0</v>
      </c>
    </row>
    <row r="50" spans="1:12" x14ac:dyDescent="0.25">
      <c r="A50" s="1" t="s">
        <v>60</v>
      </c>
      <c r="B50" s="1" t="str">
        <f ca="1">IFERROR(__xludf.DUMMYFUNCTION("GOOGLETRANSLATE(A50, ""ne"", ""en"")"),"Nepal Federal Socialist Party (single election symbol)")</f>
        <v>Nepal Federal Socialist Party (single election symbol)</v>
      </c>
      <c r="C50" s="1" t="b">
        <v>0</v>
      </c>
      <c r="D50" s="1">
        <v>8</v>
      </c>
      <c r="E50" s="1">
        <v>0</v>
      </c>
      <c r="F50" s="1">
        <v>0</v>
      </c>
      <c r="G50" s="1">
        <v>8439</v>
      </c>
      <c r="H50" s="1">
        <v>0.08</v>
      </c>
      <c r="I50" s="1">
        <v>1055</v>
      </c>
      <c r="J50" s="1">
        <v>8</v>
      </c>
      <c r="K50" s="1">
        <v>0</v>
      </c>
      <c r="L50" s="1">
        <v>0</v>
      </c>
    </row>
    <row r="51" spans="1:12" x14ac:dyDescent="0.25">
      <c r="A51" s="1" t="s">
        <v>61</v>
      </c>
      <c r="B51" s="1" t="str">
        <f ca="1">IFERROR(__xludf.DUMMYFUNCTION("GOOGLETRANSLATE(A51, ""ne"", ""en"")"),"Bahujan Ekta Party Nepal (single election symbol)")</f>
        <v>Bahujan Ekta Party Nepal (single election symbol)</v>
      </c>
      <c r="C51" s="1" t="b">
        <v>0</v>
      </c>
      <c r="D51" s="1">
        <v>7</v>
      </c>
      <c r="E51" s="1">
        <v>0</v>
      </c>
      <c r="F51" s="1">
        <v>0</v>
      </c>
      <c r="G51" s="1">
        <v>1606</v>
      </c>
      <c r="H51" s="1">
        <v>0.02</v>
      </c>
      <c r="I51" s="1">
        <v>229</v>
      </c>
      <c r="J51" s="1">
        <v>7</v>
      </c>
      <c r="K51" s="1">
        <v>0</v>
      </c>
      <c r="L51" s="1">
        <v>0</v>
      </c>
    </row>
    <row r="52" spans="1:12" x14ac:dyDescent="0.25">
      <c r="A52" s="1" t="s">
        <v>62</v>
      </c>
      <c r="B52" s="1" t="str">
        <f ca="1">IFERROR(__xludf.DUMMYFUNCTION("GOOGLETRANSLATE(A52, ""ne"", ""en"")"),"Bahujan Shakti Party")</f>
        <v>Bahujan Shakti Party</v>
      </c>
      <c r="C52" s="1" t="b">
        <v>0</v>
      </c>
      <c r="D52" s="1">
        <v>3</v>
      </c>
      <c r="E52" s="1">
        <v>0</v>
      </c>
      <c r="F52" s="1">
        <v>0</v>
      </c>
      <c r="G52" s="1">
        <v>354</v>
      </c>
      <c r="H52" s="1">
        <v>0</v>
      </c>
      <c r="I52" s="1">
        <v>118</v>
      </c>
      <c r="J52" s="1">
        <v>3</v>
      </c>
      <c r="K52" s="1">
        <v>0</v>
      </c>
      <c r="L52" s="1">
        <v>0</v>
      </c>
    </row>
    <row r="53" spans="1:12" x14ac:dyDescent="0.25">
      <c r="A53" s="1" t="s">
        <v>63</v>
      </c>
      <c r="B53" s="1" t="str">
        <f ca="1">IFERROR(__xludf.DUMMYFUNCTION("GOOGLETRANSLATE(A53, ""ne"", ""en"")"),"Historical Janata Party")</f>
        <v>Historical Janata Party</v>
      </c>
      <c r="C53" s="1" t="b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0</v>
      </c>
    </row>
    <row r="54" spans="1:12" x14ac:dyDescent="0.25">
      <c r="A54" s="1" t="s">
        <v>64</v>
      </c>
      <c r="B54" s="1" t="str">
        <f ca="1">IFERROR(__xludf.DUMMYFUNCTION("GOOGLETRANSLATE(A54, ""ne"", ""en"")"),"Janadesh Party Nepal (single election symbol)")</f>
        <v>Janadesh Party Nepal (single election symbol)</v>
      </c>
      <c r="C54" s="1" t="b">
        <v>0</v>
      </c>
      <c r="D54" s="1">
        <v>4</v>
      </c>
      <c r="E54" s="1">
        <v>0</v>
      </c>
      <c r="F54" s="1">
        <v>0</v>
      </c>
      <c r="G54" s="1">
        <v>176</v>
      </c>
      <c r="H54" s="1">
        <v>0</v>
      </c>
      <c r="I54" s="1">
        <v>44</v>
      </c>
      <c r="J54" s="1">
        <v>4</v>
      </c>
      <c r="K54" s="1">
        <v>0</v>
      </c>
      <c r="L54" s="1">
        <v>0</v>
      </c>
    </row>
    <row r="55" spans="1:12" x14ac:dyDescent="0.25">
      <c r="A55" s="1" t="s">
        <v>65</v>
      </c>
      <c r="B55" s="1" t="str">
        <f ca="1">IFERROR(__xludf.DUMMYFUNCTION("GOOGLETRANSLATE(A55, ""ne"", ""en"")"),"Rastriya Janata Party Nepal")</f>
        <v>Rastriya Janata Party Nepal</v>
      </c>
      <c r="C55" s="1" t="b">
        <v>0</v>
      </c>
      <c r="D55" s="1">
        <v>1</v>
      </c>
      <c r="E55" s="1">
        <v>0</v>
      </c>
      <c r="F55" s="1">
        <v>0</v>
      </c>
      <c r="G55" s="1">
        <v>13</v>
      </c>
      <c r="H55" s="1">
        <v>0</v>
      </c>
      <c r="I55" s="1">
        <v>13</v>
      </c>
      <c r="J55" s="1">
        <v>1</v>
      </c>
      <c r="K55" s="1">
        <v>0</v>
      </c>
      <c r="L55" s="1">
        <v>0</v>
      </c>
    </row>
    <row r="56" spans="1:12" x14ac:dyDescent="0.25">
      <c r="A56" s="1" t="s">
        <v>66</v>
      </c>
      <c r="B56" s="1" t="str">
        <f ca="1">IFERROR(__xludf.DUMMYFUNCTION("GOOGLETRANSLATE(A56, ""ne"", ""en"")"),"National Liberation Movement, Nepal")</f>
        <v>National Liberation Movement, Nepal</v>
      </c>
      <c r="C56" s="1" t="b">
        <v>0</v>
      </c>
      <c r="D56" s="1">
        <v>3</v>
      </c>
      <c r="E56" s="1">
        <v>0</v>
      </c>
      <c r="F56" s="1">
        <v>0</v>
      </c>
      <c r="G56" s="1">
        <v>569</v>
      </c>
      <c r="H56" s="1">
        <v>0.01</v>
      </c>
      <c r="I56" s="1">
        <v>190</v>
      </c>
      <c r="J56" s="1">
        <v>3</v>
      </c>
      <c r="K56" s="1">
        <v>0</v>
      </c>
      <c r="L56" s="1">
        <v>0</v>
      </c>
    </row>
    <row r="57" spans="1:12" x14ac:dyDescent="0.25">
      <c r="A57" s="1" t="s">
        <v>67</v>
      </c>
      <c r="B57" s="1" t="str">
        <f ca="1">IFERROR(__xludf.DUMMYFUNCTION("GOOGLETRANSLATE(A57, ""ne"", ""en"")"),"Dynamic Democratic Party")</f>
        <v>Dynamic Democratic Party</v>
      </c>
      <c r="C57" s="1" t="b">
        <v>0</v>
      </c>
      <c r="D57" s="1">
        <v>3</v>
      </c>
      <c r="E57" s="1">
        <v>0</v>
      </c>
      <c r="F57" s="1">
        <v>0</v>
      </c>
      <c r="G57" s="1">
        <v>229</v>
      </c>
      <c r="H57" s="1">
        <v>0</v>
      </c>
      <c r="I57" s="1">
        <v>76</v>
      </c>
      <c r="J57" s="1">
        <v>2</v>
      </c>
      <c r="K57" s="1">
        <v>1</v>
      </c>
      <c r="L57" s="1">
        <v>0</v>
      </c>
    </row>
    <row r="58" spans="1:12" x14ac:dyDescent="0.25">
      <c r="A58" s="1" t="s">
        <v>68</v>
      </c>
      <c r="B58" s="1" t="str">
        <f ca="1">IFERROR(__xludf.DUMMYFUNCTION("GOOGLETRANSLATE(A58, ""ne"", ""en"")"),"United Nepal Democratic Party")</f>
        <v>United Nepal Democratic Party</v>
      </c>
      <c r="C58" s="1" t="b">
        <v>0</v>
      </c>
      <c r="D58" s="1">
        <v>2</v>
      </c>
      <c r="E58" s="1">
        <v>0</v>
      </c>
      <c r="F58" s="1">
        <v>0</v>
      </c>
      <c r="G58" s="1">
        <v>32</v>
      </c>
      <c r="H58" s="1">
        <v>0</v>
      </c>
      <c r="I58" s="1">
        <v>16</v>
      </c>
      <c r="J58" s="1">
        <v>2</v>
      </c>
      <c r="K58" s="1">
        <v>0</v>
      </c>
      <c r="L58" s="1">
        <v>0</v>
      </c>
    </row>
    <row r="59" spans="1:12" x14ac:dyDescent="0.25">
      <c r="A59" s="1" t="s">
        <v>69</v>
      </c>
      <c r="B59" s="1" t="str">
        <f ca="1">IFERROR(__xludf.DUMMYFUNCTION("GOOGLETRANSLATE(A59, ""ne"", ""en"")"),"Democratic Party Nepal")</f>
        <v>Democratic Party Nepal</v>
      </c>
      <c r="C59" s="1" t="b">
        <v>0</v>
      </c>
      <c r="D59" s="1">
        <v>3</v>
      </c>
      <c r="E59" s="1">
        <v>0</v>
      </c>
      <c r="F59" s="1">
        <v>0</v>
      </c>
      <c r="G59" s="1">
        <v>37</v>
      </c>
      <c r="H59" s="1">
        <v>0</v>
      </c>
      <c r="I59" s="1">
        <v>12</v>
      </c>
      <c r="J59" s="1">
        <v>2</v>
      </c>
      <c r="K59" s="1">
        <v>1</v>
      </c>
      <c r="L59" s="1">
        <v>0</v>
      </c>
    </row>
    <row r="60" spans="1:12" x14ac:dyDescent="0.25">
      <c r="A60" s="1" t="s">
        <v>70</v>
      </c>
      <c r="B60" s="1" t="str">
        <f ca="1">IFERROR(__xludf.DUMMYFUNCTION("GOOGLETRANSLATE(A60, ""ne"", ""en"")"),"Nepal Janasewa Party")</f>
        <v>Nepal Janasewa Party</v>
      </c>
      <c r="C60" s="1" t="b">
        <v>0</v>
      </c>
      <c r="D60" s="1">
        <v>7</v>
      </c>
      <c r="E60" s="1">
        <v>0</v>
      </c>
      <c r="F60" s="1">
        <v>0</v>
      </c>
      <c r="G60" s="1">
        <v>159</v>
      </c>
      <c r="H60" s="1">
        <v>0</v>
      </c>
      <c r="I60" s="1">
        <v>23</v>
      </c>
      <c r="J60" s="1">
        <v>6</v>
      </c>
      <c r="K60" s="1">
        <v>1</v>
      </c>
      <c r="L60" s="1">
        <v>0</v>
      </c>
    </row>
    <row r="61" spans="1:12" x14ac:dyDescent="0.25">
      <c r="A61" s="1" t="s">
        <v>71</v>
      </c>
      <c r="B61" s="1" t="str">
        <f ca="1">IFERROR(__xludf.DUMMYFUNCTION("GOOGLETRANSLATE(A61, ""ne"", ""en"")"),"Trimul Nepal")</f>
        <v>Trimul Nepal</v>
      </c>
      <c r="C61" s="1" t="b">
        <v>0</v>
      </c>
      <c r="D61" s="1">
        <v>3</v>
      </c>
      <c r="E61" s="1">
        <v>0</v>
      </c>
      <c r="F61" s="1">
        <v>0</v>
      </c>
      <c r="G61" s="1">
        <v>16</v>
      </c>
      <c r="H61" s="1">
        <v>0</v>
      </c>
      <c r="I61" s="1">
        <v>5</v>
      </c>
      <c r="J61" s="1">
        <v>3</v>
      </c>
      <c r="K61" s="1">
        <v>0</v>
      </c>
      <c r="L61" s="1">
        <v>0</v>
      </c>
    </row>
    <row r="62" spans="1:12" x14ac:dyDescent="0.25">
      <c r="A62" s="1" t="s">
        <v>72</v>
      </c>
      <c r="B62" s="1" t="str">
        <f ca="1">IFERROR(__xludf.DUMMYFUNCTION("GOOGLETRANSLATE(A62, ""ne"", ""en"")"),"Communist Party of Nepal (Marxist) (single election symbol)")</f>
        <v>Communist Party of Nepal (Marxist) (single election symbol)</v>
      </c>
      <c r="C62" s="1" t="b">
        <v>0</v>
      </c>
      <c r="D62" s="1">
        <v>1</v>
      </c>
      <c r="E62" s="1">
        <v>0</v>
      </c>
      <c r="F62" s="1">
        <v>0</v>
      </c>
      <c r="G62" s="1">
        <v>16</v>
      </c>
      <c r="H62" s="1">
        <v>0</v>
      </c>
      <c r="I62" s="1">
        <v>16</v>
      </c>
      <c r="J62" s="1">
        <v>1</v>
      </c>
      <c r="K62" s="1">
        <v>0</v>
      </c>
      <c r="L62" s="1">
        <v>0</v>
      </c>
    </row>
    <row r="63" spans="1:12" x14ac:dyDescent="0.25">
      <c r="A63" s="1" t="s">
        <v>73</v>
      </c>
      <c r="B63" s="1" t="str">
        <f ca="1">IFERROR(__xludf.DUMMYFUNCTION("GOOGLETRANSLATE(A63, ""ne"", ""en"")"),"National Citizens Party")</f>
        <v>National Citizens Party</v>
      </c>
      <c r="C63" s="1" t="b">
        <v>0</v>
      </c>
      <c r="D63" s="1">
        <v>1</v>
      </c>
      <c r="E63" s="1">
        <v>0</v>
      </c>
      <c r="F63" s="1">
        <v>0</v>
      </c>
      <c r="G63" s="1">
        <v>12</v>
      </c>
      <c r="H63" s="1">
        <v>0</v>
      </c>
      <c r="I63" s="1">
        <v>12</v>
      </c>
      <c r="J63" s="1">
        <v>1</v>
      </c>
      <c r="K63" s="1">
        <v>0</v>
      </c>
      <c r="L63" s="1">
        <v>0</v>
      </c>
    </row>
    <row r="64" spans="1:12" x14ac:dyDescent="0.25">
      <c r="A64" s="1" t="s">
        <v>74</v>
      </c>
      <c r="B64" s="1" t="str">
        <f ca="1">IFERROR(__xludf.DUMMYFUNCTION("GOOGLETRANSLATE(A64, ""ne"", ""en"")"),"Nepal Humanist Party")</f>
        <v>Nepal Humanist Party</v>
      </c>
      <c r="C64" s="1" t="b">
        <v>0</v>
      </c>
      <c r="D64" s="1">
        <v>6</v>
      </c>
      <c r="E64" s="1">
        <v>0</v>
      </c>
      <c r="F64" s="1">
        <v>0</v>
      </c>
      <c r="G64" s="1">
        <v>949</v>
      </c>
      <c r="H64" s="1">
        <v>0.01</v>
      </c>
      <c r="I64" s="1">
        <v>158</v>
      </c>
      <c r="J64" s="1">
        <v>6</v>
      </c>
      <c r="K64" s="1">
        <v>0</v>
      </c>
      <c r="L64" s="1">
        <v>0</v>
      </c>
    </row>
    <row r="65" spans="1:12" x14ac:dyDescent="0.25">
      <c r="A65" s="1" t="s">
        <v>75</v>
      </c>
      <c r="B65" s="1" t="str">
        <f ca="1">IFERROR(__xludf.DUMMYFUNCTION("GOOGLETRANSLATE(A65, ""ne"", ""en"")"),"Nepal Matrubhumi Party")</f>
        <v>Nepal Matrubhumi Party</v>
      </c>
      <c r="C65" s="1" t="b">
        <v>0</v>
      </c>
      <c r="D65" s="1">
        <v>1</v>
      </c>
      <c r="E65" s="1">
        <v>0</v>
      </c>
      <c r="F65" s="1">
        <v>0</v>
      </c>
      <c r="G65" s="1">
        <v>23</v>
      </c>
      <c r="H65" s="1">
        <v>0</v>
      </c>
      <c r="I65" s="1">
        <v>23</v>
      </c>
      <c r="J65" s="1">
        <v>1</v>
      </c>
      <c r="K65" s="1">
        <v>0</v>
      </c>
      <c r="L65" s="1">
        <v>0</v>
      </c>
    </row>
    <row r="66" spans="1:12" x14ac:dyDescent="0.25">
      <c r="A66" s="1" t="s">
        <v>76</v>
      </c>
      <c r="B66" s="1" t="str">
        <f ca="1">IFERROR(__xludf.DUMMYFUNCTION("GOOGLETRANSLATE(A66, ""ne"", ""en"")"),"Gandhian Party Nepal")</f>
        <v>Gandhian Party Nepal</v>
      </c>
      <c r="C66" s="1" t="b">
        <v>0</v>
      </c>
      <c r="D66" s="1">
        <v>1</v>
      </c>
      <c r="E66" s="1">
        <v>0</v>
      </c>
      <c r="F66" s="1">
        <v>0</v>
      </c>
      <c r="G66" s="1">
        <v>4</v>
      </c>
      <c r="H66" s="1">
        <v>0</v>
      </c>
      <c r="I66" s="1">
        <v>4</v>
      </c>
      <c r="J66" s="1">
        <v>1</v>
      </c>
      <c r="K66" s="1">
        <v>0</v>
      </c>
      <c r="L66" s="1">
        <v>0</v>
      </c>
    </row>
    <row r="67" spans="1:12" x14ac:dyDescent="0.25">
      <c r="A67" s="1" t="s">
        <v>77</v>
      </c>
      <c r="B67" s="1" t="str">
        <f ca="1">IFERROR(__xludf.DUMMYFUNCTION("GOOGLETRANSLATE(A67, ""ne"", ""en"")"),"National People's Party")</f>
        <v>National People's Party</v>
      </c>
      <c r="C67" s="1" t="b">
        <v>0</v>
      </c>
      <c r="D67" s="1">
        <v>4</v>
      </c>
      <c r="E67" s="1">
        <v>0</v>
      </c>
      <c r="F67" s="1">
        <v>0</v>
      </c>
      <c r="G67" s="1">
        <v>953</v>
      </c>
      <c r="H67" s="1">
        <v>0.01</v>
      </c>
      <c r="I67" s="1">
        <v>238</v>
      </c>
      <c r="J67" s="1">
        <v>4</v>
      </c>
      <c r="K67" s="1">
        <v>0</v>
      </c>
      <c r="L67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party_wise_results.csv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Sushmita Gautam</cp:lastModifiedBy>
  <dcterms:modified xsi:type="dcterms:W3CDTF">2026-04-14T12:46:10Z</dcterms:modified>
</cp:coreProperties>
</file>