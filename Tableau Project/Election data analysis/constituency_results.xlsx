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st\Tableau Project\Election data analysis\"/>
    </mc:Choice>
  </mc:AlternateContent>
  <bookViews>
    <workbookView xWindow="0" yWindow="0" windowWidth="23040" windowHeight="9072"/>
  </bookViews>
  <sheets>
    <sheet name="constituency_results.csv" sheetId="1" r:id="rId1"/>
  </sheets>
  <calcPr calcId="162913"/>
</workbook>
</file>

<file path=xl/calcChain.xml><?xml version="1.0" encoding="utf-8"?>
<calcChain xmlns="http://schemas.openxmlformats.org/spreadsheetml/2006/main">
  <c r="S167" i="1" l="1"/>
  <c r="M166" i="1"/>
  <c r="F165" i="1"/>
  <c r="S163" i="1"/>
  <c r="M162" i="1"/>
  <c r="F161" i="1"/>
  <c r="S159" i="1"/>
  <c r="M158" i="1"/>
  <c r="F157" i="1"/>
  <c r="S155" i="1"/>
  <c r="M154" i="1"/>
  <c r="F153" i="1"/>
  <c r="S151" i="1"/>
  <c r="M150" i="1"/>
  <c r="F149" i="1"/>
  <c r="S147" i="1"/>
  <c r="M146" i="1"/>
  <c r="F145" i="1"/>
  <c r="S143" i="1"/>
  <c r="M142" i="1"/>
  <c r="F141" i="1"/>
  <c r="S139" i="1"/>
  <c r="M138" i="1"/>
  <c r="F137" i="1"/>
  <c r="S135" i="1"/>
  <c r="M134" i="1"/>
  <c r="F133" i="1"/>
  <c r="S131" i="1"/>
  <c r="M130" i="1"/>
  <c r="F129" i="1"/>
  <c r="S127" i="1"/>
  <c r="M126" i="1"/>
  <c r="F125" i="1"/>
  <c r="S123" i="1"/>
  <c r="M122" i="1"/>
  <c r="F121" i="1"/>
  <c r="S119" i="1"/>
  <c r="M118" i="1"/>
  <c r="F117" i="1"/>
  <c r="S115" i="1"/>
  <c r="M114" i="1"/>
  <c r="F113" i="1"/>
  <c r="S111" i="1"/>
  <c r="M110" i="1"/>
  <c r="F109" i="1"/>
  <c r="S107" i="1"/>
  <c r="M106" i="1"/>
  <c r="F105" i="1"/>
  <c r="S103" i="1"/>
  <c r="M102" i="1"/>
  <c r="F101" i="1"/>
  <c r="S99" i="1"/>
  <c r="M98" i="1"/>
  <c r="F97" i="1"/>
  <c r="S95" i="1"/>
  <c r="M94" i="1"/>
  <c r="F93" i="1"/>
  <c r="S91" i="1"/>
  <c r="M90" i="1"/>
  <c r="F89" i="1"/>
  <c r="S87" i="1"/>
  <c r="M86" i="1"/>
  <c r="F85" i="1"/>
  <c r="S83" i="1"/>
  <c r="M82" i="1"/>
  <c r="F81" i="1"/>
  <c r="S79" i="1"/>
  <c r="M78" i="1"/>
  <c r="F77" i="1"/>
  <c r="S75" i="1"/>
  <c r="M74" i="1"/>
  <c r="F73" i="1"/>
  <c r="S71" i="1"/>
  <c r="M70" i="1"/>
  <c r="F69" i="1"/>
  <c r="S67" i="1"/>
  <c r="M66" i="1"/>
  <c r="F65" i="1"/>
  <c r="S63" i="1"/>
  <c r="M62" i="1"/>
  <c r="F61" i="1"/>
  <c r="S59" i="1"/>
  <c r="M58" i="1"/>
  <c r="F57" i="1"/>
  <c r="S55" i="1"/>
  <c r="M54" i="1"/>
  <c r="F53" i="1"/>
  <c r="S51" i="1"/>
  <c r="M50" i="1"/>
  <c r="F49" i="1"/>
  <c r="S47" i="1"/>
  <c r="M46" i="1"/>
  <c r="F45" i="1"/>
  <c r="S43" i="1"/>
  <c r="M42" i="1"/>
  <c r="F41" i="1"/>
  <c r="S39" i="1"/>
  <c r="M38" i="1"/>
  <c r="F37" i="1"/>
  <c r="S35" i="1"/>
  <c r="M34" i="1"/>
  <c r="F33" i="1"/>
  <c r="S31" i="1"/>
  <c r="M30" i="1"/>
  <c r="F29" i="1"/>
  <c r="S27" i="1"/>
  <c r="M26" i="1"/>
  <c r="F25" i="1"/>
  <c r="S23" i="1"/>
  <c r="M22" i="1"/>
  <c r="F21" i="1"/>
  <c r="S19" i="1"/>
  <c r="M18" i="1"/>
  <c r="F17" i="1"/>
  <c r="S15" i="1"/>
  <c r="M14" i="1"/>
  <c r="F13" i="1"/>
  <c r="S11" i="1"/>
  <c r="M10" i="1"/>
  <c r="F9" i="1"/>
  <c r="S7" i="1"/>
  <c r="M6" i="1"/>
  <c r="F5" i="1"/>
  <c r="S3" i="1"/>
  <c r="S166" i="1"/>
  <c r="Q167" i="1"/>
  <c r="K166" i="1"/>
  <c r="C165" i="1"/>
  <c r="Q163" i="1"/>
  <c r="K162" i="1"/>
  <c r="C161" i="1"/>
  <c r="Q159" i="1"/>
  <c r="K158" i="1"/>
  <c r="C157" i="1"/>
  <c r="Q155" i="1"/>
  <c r="K154" i="1"/>
  <c r="C153" i="1"/>
  <c r="Q151" i="1"/>
  <c r="K150" i="1"/>
  <c r="C149" i="1"/>
  <c r="Q147" i="1"/>
  <c r="K146" i="1"/>
  <c r="C145" i="1"/>
  <c r="Q143" i="1"/>
  <c r="K142" i="1"/>
  <c r="C141" i="1"/>
  <c r="Q139" i="1"/>
  <c r="K138" i="1"/>
  <c r="C137" i="1"/>
  <c r="Q135" i="1"/>
  <c r="K134" i="1"/>
  <c r="C133" i="1"/>
  <c r="Q131" i="1"/>
  <c r="K130" i="1"/>
  <c r="C129" i="1"/>
  <c r="Q127" i="1"/>
  <c r="K126" i="1"/>
  <c r="C125" i="1"/>
  <c r="Q123" i="1"/>
  <c r="K122" i="1"/>
  <c r="C121" i="1"/>
  <c r="Q119" i="1"/>
  <c r="K118" i="1"/>
  <c r="C117" i="1"/>
  <c r="Q115" i="1"/>
  <c r="K114" i="1"/>
  <c r="C113" i="1"/>
  <c r="Q111" i="1"/>
  <c r="K110" i="1"/>
  <c r="C109" i="1"/>
  <c r="Q107" i="1"/>
  <c r="K106" i="1"/>
  <c r="C105" i="1"/>
  <c r="Q103" i="1"/>
  <c r="K102" i="1"/>
  <c r="C101" i="1"/>
  <c r="Q99" i="1"/>
  <c r="K98" i="1"/>
  <c r="C97" i="1"/>
  <c r="Q95" i="1"/>
  <c r="K94" i="1"/>
  <c r="C93" i="1"/>
  <c r="Q91" i="1"/>
  <c r="K90" i="1"/>
  <c r="C89" i="1"/>
  <c r="Q87" i="1"/>
  <c r="K86" i="1"/>
  <c r="C85" i="1"/>
  <c r="Q83" i="1"/>
  <c r="K82" i="1"/>
  <c r="C81" i="1"/>
  <c r="Q79" i="1"/>
  <c r="K78" i="1"/>
  <c r="C77" i="1"/>
  <c r="Q75" i="1"/>
  <c r="K74" i="1"/>
  <c r="C73" i="1"/>
  <c r="Q71" i="1"/>
  <c r="K70" i="1"/>
  <c r="C69" i="1"/>
  <c r="Q67" i="1"/>
  <c r="K66" i="1"/>
  <c r="C65" i="1"/>
  <c r="Q63" i="1"/>
  <c r="K62" i="1"/>
  <c r="C61" i="1"/>
  <c r="Q59" i="1"/>
  <c r="K58" i="1"/>
  <c r="C57" i="1"/>
  <c r="Q55" i="1"/>
  <c r="K54" i="1"/>
  <c r="C53" i="1"/>
  <c r="Q51" i="1"/>
  <c r="K50" i="1"/>
  <c r="C49" i="1"/>
  <c r="Q47" i="1"/>
  <c r="K46" i="1"/>
  <c r="C45" i="1"/>
  <c r="Q43" i="1"/>
  <c r="K42" i="1"/>
  <c r="C41" i="1"/>
  <c r="Q39" i="1"/>
  <c r="K38" i="1"/>
  <c r="C37" i="1"/>
  <c r="Q35" i="1"/>
  <c r="K34" i="1"/>
  <c r="C33" i="1"/>
  <c r="Q31" i="1"/>
  <c r="K30" i="1"/>
  <c r="C29" i="1"/>
  <c r="Q27" i="1"/>
  <c r="K26" i="1"/>
  <c r="C25" i="1"/>
  <c r="Q23" i="1"/>
  <c r="K22" i="1"/>
  <c r="C21" i="1"/>
  <c r="Q19" i="1"/>
  <c r="K18" i="1"/>
  <c r="C17" i="1"/>
  <c r="Q15" i="1"/>
  <c r="K14" i="1"/>
  <c r="C13" i="1"/>
  <c r="Q11" i="1"/>
  <c r="K10" i="1"/>
  <c r="C9" i="1"/>
  <c r="Q7" i="1"/>
  <c r="K6" i="1"/>
  <c r="C5" i="1"/>
  <c r="Q3" i="1"/>
  <c r="F160" i="1"/>
  <c r="M167" i="1"/>
  <c r="F166" i="1"/>
  <c r="S164" i="1"/>
  <c r="M163" i="1"/>
  <c r="F162" i="1"/>
  <c r="S160" i="1"/>
  <c r="M159" i="1"/>
  <c r="F158" i="1"/>
  <c r="S156" i="1"/>
  <c r="M155" i="1"/>
  <c r="F154" i="1"/>
  <c r="S152" i="1"/>
  <c r="M151" i="1"/>
  <c r="F150" i="1"/>
  <c r="S148" i="1"/>
  <c r="M147" i="1"/>
  <c r="F146" i="1"/>
  <c r="S144" i="1"/>
  <c r="M143" i="1"/>
  <c r="F142" i="1"/>
  <c r="S140" i="1"/>
  <c r="M139" i="1"/>
  <c r="F138" i="1"/>
  <c r="S136" i="1"/>
  <c r="M135" i="1"/>
  <c r="F134" i="1"/>
  <c r="S132" i="1"/>
  <c r="M131" i="1"/>
  <c r="F130" i="1"/>
  <c r="S128" i="1"/>
  <c r="M127" i="1"/>
  <c r="F126" i="1"/>
  <c r="S124" i="1"/>
  <c r="M123" i="1"/>
  <c r="F122" i="1"/>
  <c r="S120" i="1"/>
  <c r="M119" i="1"/>
  <c r="F118" i="1"/>
  <c r="S116" i="1"/>
  <c r="M115" i="1"/>
  <c r="F114" i="1"/>
  <c r="S112" i="1"/>
  <c r="M111" i="1"/>
  <c r="F110" i="1"/>
  <c r="S108" i="1"/>
  <c r="M107" i="1"/>
  <c r="F106" i="1"/>
  <c r="S104" i="1"/>
  <c r="M103" i="1"/>
  <c r="F102" i="1"/>
  <c r="S100" i="1"/>
  <c r="M99" i="1"/>
  <c r="F98" i="1"/>
  <c r="S96" i="1"/>
  <c r="M95" i="1"/>
  <c r="F94" i="1"/>
  <c r="S92" i="1"/>
  <c r="M91" i="1"/>
  <c r="F90" i="1"/>
  <c r="S88" i="1"/>
  <c r="M87" i="1"/>
  <c r="F86" i="1"/>
  <c r="S84" i="1"/>
  <c r="M83" i="1"/>
  <c r="F82" i="1"/>
  <c r="S80" i="1"/>
  <c r="M79" i="1"/>
  <c r="F78" i="1"/>
  <c r="S76" i="1"/>
  <c r="M75" i="1"/>
  <c r="F74" i="1"/>
  <c r="S72" i="1"/>
  <c r="M71" i="1"/>
  <c r="F70" i="1"/>
  <c r="S68" i="1"/>
  <c r="M67" i="1"/>
  <c r="F66" i="1"/>
  <c r="S64" i="1"/>
  <c r="M63" i="1"/>
  <c r="F62" i="1"/>
  <c r="S60" i="1"/>
  <c r="M59" i="1"/>
  <c r="F58" i="1"/>
  <c r="S56" i="1"/>
  <c r="M55" i="1"/>
  <c r="F54" i="1"/>
  <c r="S52" i="1"/>
  <c r="M51" i="1"/>
  <c r="F50" i="1"/>
  <c r="S48" i="1"/>
  <c r="M47" i="1"/>
  <c r="F46" i="1"/>
  <c r="S44" i="1"/>
  <c r="M43" i="1"/>
  <c r="F42" i="1"/>
  <c r="S40" i="1"/>
  <c r="M39" i="1"/>
  <c r="F38" i="1"/>
  <c r="S36" i="1"/>
  <c r="M35" i="1"/>
  <c r="F34" i="1"/>
  <c r="S32" i="1"/>
  <c r="M31" i="1"/>
  <c r="F30" i="1"/>
  <c r="S28" i="1"/>
  <c r="M27" i="1"/>
  <c r="F26" i="1"/>
  <c r="S24" i="1"/>
  <c r="M23" i="1"/>
  <c r="F22" i="1"/>
  <c r="S20" i="1"/>
  <c r="M19" i="1"/>
  <c r="F18" i="1"/>
  <c r="S16" i="1"/>
  <c r="M15" i="1"/>
  <c r="F14" i="1"/>
  <c r="S12" i="1"/>
  <c r="M11" i="1"/>
  <c r="F10" i="1"/>
  <c r="S8" i="1"/>
  <c r="M7" i="1"/>
  <c r="F6" i="1"/>
  <c r="S4" i="1"/>
  <c r="F3" i="1"/>
  <c r="M165" i="1"/>
  <c r="K167" i="1"/>
  <c r="C166" i="1"/>
  <c r="Q164" i="1"/>
  <c r="K163" i="1"/>
  <c r="C162" i="1"/>
  <c r="Q160" i="1"/>
  <c r="K159" i="1"/>
  <c r="C158" i="1"/>
  <c r="Q156" i="1"/>
  <c r="K155" i="1"/>
  <c r="C154" i="1"/>
  <c r="Q152" i="1"/>
  <c r="K151" i="1"/>
  <c r="C150" i="1"/>
  <c r="Q148" i="1"/>
  <c r="K147" i="1"/>
  <c r="C146" i="1"/>
  <c r="Q144" i="1"/>
  <c r="K143" i="1"/>
  <c r="C142" i="1"/>
  <c r="Q140" i="1"/>
  <c r="K139" i="1"/>
  <c r="C138" i="1"/>
  <c r="Q136" i="1"/>
  <c r="K135" i="1"/>
  <c r="C134" i="1"/>
  <c r="Q132" i="1"/>
  <c r="K131" i="1"/>
  <c r="C130" i="1"/>
  <c r="Q128" i="1"/>
  <c r="K127" i="1"/>
  <c r="C126" i="1"/>
  <c r="Q124" i="1"/>
  <c r="K123" i="1"/>
  <c r="C122" i="1"/>
  <c r="Q120" i="1"/>
  <c r="K119" i="1"/>
  <c r="C118" i="1"/>
  <c r="Q116" i="1"/>
  <c r="K115" i="1"/>
  <c r="C114" i="1"/>
  <c r="Q112" i="1"/>
  <c r="K111" i="1"/>
  <c r="C110" i="1"/>
  <c r="Q108" i="1"/>
  <c r="K107" i="1"/>
  <c r="C106" i="1"/>
  <c r="Q104" i="1"/>
  <c r="K103" i="1"/>
  <c r="C102" i="1"/>
  <c r="Q100" i="1"/>
  <c r="K99" i="1"/>
  <c r="C98" i="1"/>
  <c r="Q96" i="1"/>
  <c r="K95" i="1"/>
  <c r="C94" i="1"/>
  <c r="Q92" i="1"/>
  <c r="K91" i="1"/>
  <c r="C90" i="1"/>
  <c r="Q88" i="1"/>
  <c r="K87" i="1"/>
  <c r="C86" i="1"/>
  <c r="Q84" i="1"/>
  <c r="K83" i="1"/>
  <c r="C82" i="1"/>
  <c r="Q80" i="1"/>
  <c r="K79" i="1"/>
  <c r="C78" i="1"/>
  <c r="Q76" i="1"/>
  <c r="K75" i="1"/>
  <c r="C74" i="1"/>
  <c r="Q72" i="1"/>
  <c r="K71" i="1"/>
  <c r="C70" i="1"/>
  <c r="Q68" i="1"/>
  <c r="K67" i="1"/>
  <c r="C66" i="1"/>
  <c r="Q64" i="1"/>
  <c r="K63" i="1"/>
  <c r="C62" i="1"/>
  <c r="Q60" i="1"/>
  <c r="K59" i="1"/>
  <c r="C58" i="1"/>
  <c r="Q56" i="1"/>
  <c r="K55" i="1"/>
  <c r="C54" i="1"/>
  <c r="Q52" i="1"/>
  <c r="K51" i="1"/>
  <c r="C50" i="1"/>
  <c r="Q48" i="1"/>
  <c r="K47" i="1"/>
  <c r="C46" i="1"/>
  <c r="Q44" i="1"/>
  <c r="K43" i="1"/>
  <c r="C42" i="1"/>
  <c r="Q40" i="1"/>
  <c r="K39" i="1"/>
  <c r="C38" i="1"/>
  <c r="Q36" i="1"/>
  <c r="K35" i="1"/>
  <c r="C34" i="1"/>
  <c r="Q32" i="1"/>
  <c r="K31" i="1"/>
  <c r="C30" i="1"/>
  <c r="Q28" i="1"/>
  <c r="K27" i="1"/>
  <c r="C26" i="1"/>
  <c r="Q24" i="1"/>
  <c r="K23" i="1"/>
  <c r="C22" i="1"/>
  <c r="Q20" i="1"/>
  <c r="K19" i="1"/>
  <c r="C18" i="1"/>
  <c r="Q16" i="1"/>
  <c r="K15" i="1"/>
  <c r="C14" i="1"/>
  <c r="Q12" i="1"/>
  <c r="K11" i="1"/>
  <c r="C10" i="1"/>
  <c r="Q8" i="1"/>
  <c r="K7" i="1"/>
  <c r="C6" i="1"/>
  <c r="Q4" i="1"/>
  <c r="C3" i="1"/>
  <c r="S5" i="1"/>
  <c r="M4" i="1"/>
  <c r="M161" i="1"/>
  <c r="F167" i="1"/>
  <c r="S165" i="1"/>
  <c r="M164" i="1"/>
  <c r="F163" i="1"/>
  <c r="S161" i="1"/>
  <c r="M160" i="1"/>
  <c r="F159" i="1"/>
  <c r="S157" i="1"/>
  <c r="M156" i="1"/>
  <c r="F155" i="1"/>
  <c r="S153" i="1"/>
  <c r="M152" i="1"/>
  <c r="F151" i="1"/>
  <c r="S149" i="1"/>
  <c r="M148" i="1"/>
  <c r="F147" i="1"/>
  <c r="S145" i="1"/>
  <c r="M144" i="1"/>
  <c r="F143" i="1"/>
  <c r="S141" i="1"/>
  <c r="M140" i="1"/>
  <c r="F139" i="1"/>
  <c r="S137" i="1"/>
  <c r="M136" i="1"/>
  <c r="F135" i="1"/>
  <c r="S133" i="1"/>
  <c r="M132" i="1"/>
  <c r="F131" i="1"/>
  <c r="S129" i="1"/>
  <c r="M128" i="1"/>
  <c r="F127" i="1"/>
  <c r="S125" i="1"/>
  <c r="M124" i="1"/>
  <c r="F123" i="1"/>
  <c r="S121" i="1"/>
  <c r="M120" i="1"/>
  <c r="F119" i="1"/>
  <c r="S117" i="1"/>
  <c r="M116" i="1"/>
  <c r="F115" i="1"/>
  <c r="S113" i="1"/>
  <c r="M112" i="1"/>
  <c r="F111" i="1"/>
  <c r="S109" i="1"/>
  <c r="M108" i="1"/>
  <c r="F107" i="1"/>
  <c r="S105" i="1"/>
  <c r="M104" i="1"/>
  <c r="F103" i="1"/>
  <c r="S101" i="1"/>
  <c r="M100" i="1"/>
  <c r="F99" i="1"/>
  <c r="S97" i="1"/>
  <c r="M96" i="1"/>
  <c r="F95" i="1"/>
  <c r="S93" i="1"/>
  <c r="M92" i="1"/>
  <c r="F91" i="1"/>
  <c r="S89" i="1"/>
  <c r="M88" i="1"/>
  <c r="F87" i="1"/>
  <c r="S85" i="1"/>
  <c r="M84" i="1"/>
  <c r="F83" i="1"/>
  <c r="S81" i="1"/>
  <c r="M80" i="1"/>
  <c r="F79" i="1"/>
  <c r="S77" i="1"/>
  <c r="M76" i="1"/>
  <c r="F75" i="1"/>
  <c r="S73" i="1"/>
  <c r="M72" i="1"/>
  <c r="F71" i="1"/>
  <c r="S69" i="1"/>
  <c r="M68" i="1"/>
  <c r="F67" i="1"/>
  <c r="S65" i="1"/>
  <c r="M64" i="1"/>
  <c r="F63" i="1"/>
  <c r="S61" i="1"/>
  <c r="M60" i="1"/>
  <c r="F59" i="1"/>
  <c r="S57" i="1"/>
  <c r="M56" i="1"/>
  <c r="F55" i="1"/>
  <c r="S53" i="1"/>
  <c r="M52" i="1"/>
  <c r="F51" i="1"/>
  <c r="S49" i="1"/>
  <c r="M48" i="1"/>
  <c r="F47" i="1"/>
  <c r="S45" i="1"/>
  <c r="M44" i="1"/>
  <c r="F43" i="1"/>
  <c r="S41" i="1"/>
  <c r="M40" i="1"/>
  <c r="F39" i="1"/>
  <c r="S37" i="1"/>
  <c r="M36" i="1"/>
  <c r="F35" i="1"/>
  <c r="S33" i="1"/>
  <c r="M32" i="1"/>
  <c r="F31" i="1"/>
  <c r="S29" i="1"/>
  <c r="M28" i="1"/>
  <c r="F27" i="1"/>
  <c r="S25" i="1"/>
  <c r="M24" i="1"/>
  <c r="F23" i="1"/>
  <c r="S21" i="1"/>
  <c r="M20" i="1"/>
  <c r="F19" i="1"/>
  <c r="S17" i="1"/>
  <c r="M16" i="1"/>
  <c r="F15" i="1"/>
  <c r="S13" i="1"/>
  <c r="M12" i="1"/>
  <c r="F11" i="1"/>
  <c r="S9" i="1"/>
  <c r="M8" i="1"/>
  <c r="F7" i="1"/>
  <c r="S162" i="1"/>
  <c r="S158" i="1"/>
  <c r="F156" i="1"/>
  <c r="M153" i="1"/>
  <c r="S150" i="1"/>
  <c r="S146" i="1"/>
  <c r="C167" i="1"/>
  <c r="Q165" i="1"/>
  <c r="K164" i="1"/>
  <c r="C163" i="1"/>
  <c r="Q161" i="1"/>
  <c r="K160" i="1"/>
  <c r="C159" i="1"/>
  <c r="Q157" i="1"/>
  <c r="K156" i="1"/>
  <c r="C155" i="1"/>
  <c r="Q153" i="1"/>
  <c r="K152" i="1"/>
  <c r="C151" i="1"/>
  <c r="Q149" i="1"/>
  <c r="K148" i="1"/>
  <c r="C147" i="1"/>
  <c r="Q145" i="1"/>
  <c r="K144" i="1"/>
  <c r="C143" i="1"/>
  <c r="Q141" i="1"/>
  <c r="K140" i="1"/>
  <c r="C139" i="1"/>
  <c r="Q137" i="1"/>
  <c r="K136" i="1"/>
  <c r="C135" i="1"/>
  <c r="Q133" i="1"/>
  <c r="K132" i="1"/>
  <c r="C131" i="1"/>
  <c r="Q129" i="1"/>
  <c r="K128" i="1"/>
  <c r="C127" i="1"/>
  <c r="Q125" i="1"/>
  <c r="K124" i="1"/>
  <c r="C123" i="1"/>
  <c r="Q121" i="1"/>
  <c r="K120" i="1"/>
  <c r="C119" i="1"/>
  <c r="Q117" i="1"/>
  <c r="K116" i="1"/>
  <c r="C115" i="1"/>
  <c r="Q113" i="1"/>
  <c r="K112" i="1"/>
  <c r="C111" i="1"/>
  <c r="Q109" i="1"/>
  <c r="K108" i="1"/>
  <c r="C107" i="1"/>
  <c r="Q105" i="1"/>
  <c r="K104" i="1"/>
  <c r="C103" i="1"/>
  <c r="Q101" i="1"/>
  <c r="K100" i="1"/>
  <c r="C99" i="1"/>
  <c r="Q97" i="1"/>
  <c r="K96" i="1"/>
  <c r="C95" i="1"/>
  <c r="Q93" i="1"/>
  <c r="K92" i="1"/>
  <c r="C91" i="1"/>
  <c r="Q89" i="1"/>
  <c r="K88" i="1"/>
  <c r="C87" i="1"/>
  <c r="Q85" i="1"/>
  <c r="K84" i="1"/>
  <c r="C83" i="1"/>
  <c r="Q81" i="1"/>
  <c r="K80" i="1"/>
  <c r="C79" i="1"/>
  <c r="Q77" i="1"/>
  <c r="K76" i="1"/>
  <c r="C75" i="1"/>
  <c r="Q73" i="1"/>
  <c r="K72" i="1"/>
  <c r="C71" i="1"/>
  <c r="Q69" i="1"/>
  <c r="K68" i="1"/>
  <c r="C67" i="1"/>
  <c r="Q65" i="1"/>
  <c r="K64" i="1"/>
  <c r="C63" i="1"/>
  <c r="Q61" i="1"/>
  <c r="K60" i="1"/>
  <c r="C59" i="1"/>
  <c r="Q57" i="1"/>
  <c r="K56" i="1"/>
  <c r="C55" i="1"/>
  <c r="Q53" i="1"/>
  <c r="K52" i="1"/>
  <c r="C51" i="1"/>
  <c r="Q49" i="1"/>
  <c r="K48" i="1"/>
  <c r="C47" i="1"/>
  <c r="Q45" i="1"/>
  <c r="K44" i="1"/>
  <c r="C43" i="1"/>
  <c r="Q41" i="1"/>
  <c r="K40" i="1"/>
  <c r="C39" i="1"/>
  <c r="Q37" i="1"/>
  <c r="K36" i="1"/>
  <c r="C35" i="1"/>
  <c r="Q33" i="1"/>
  <c r="K32" i="1"/>
  <c r="C31" i="1"/>
  <c r="Q29" i="1"/>
  <c r="K28" i="1"/>
  <c r="C27" i="1"/>
  <c r="Q25" i="1"/>
  <c r="K24" i="1"/>
  <c r="C23" i="1"/>
  <c r="Q21" i="1"/>
  <c r="K20" i="1"/>
  <c r="C19" i="1"/>
  <c r="Q17" i="1"/>
  <c r="K16" i="1"/>
  <c r="C15" i="1"/>
  <c r="Q13" i="1"/>
  <c r="K12" i="1"/>
  <c r="C11" i="1"/>
  <c r="Q9" i="1"/>
  <c r="K8" i="1"/>
  <c r="C7" i="1"/>
  <c r="Q5" i="1"/>
  <c r="K4" i="1"/>
  <c r="F164" i="1"/>
  <c r="M157" i="1"/>
  <c r="S154" i="1"/>
  <c r="F152" i="1"/>
  <c r="Q166" i="1"/>
  <c r="C156" i="1"/>
  <c r="C148" i="1"/>
  <c r="M141" i="1"/>
  <c r="F136" i="1"/>
  <c r="S130" i="1"/>
  <c r="M125" i="1"/>
  <c r="F120" i="1"/>
  <c r="S114" i="1"/>
  <c r="M109" i="1"/>
  <c r="F104" i="1"/>
  <c r="S98" i="1"/>
  <c r="M93" i="1"/>
  <c r="F88" i="1"/>
  <c r="S82" i="1"/>
  <c r="M77" i="1"/>
  <c r="F72" i="1"/>
  <c r="S66" i="1"/>
  <c r="M61" i="1"/>
  <c r="F56" i="1"/>
  <c r="S50" i="1"/>
  <c r="M45" i="1"/>
  <c r="F40" i="1"/>
  <c r="S34" i="1"/>
  <c r="M29" i="1"/>
  <c r="F24" i="1"/>
  <c r="S18" i="1"/>
  <c r="M13" i="1"/>
  <c r="F8" i="1"/>
  <c r="C24" i="1"/>
  <c r="Q18" i="1"/>
  <c r="C8" i="1"/>
  <c r="M17" i="1"/>
  <c r="C28" i="1"/>
  <c r="Q6" i="1"/>
  <c r="F48" i="1"/>
  <c r="F32" i="1"/>
  <c r="M5" i="1"/>
  <c r="M149" i="1"/>
  <c r="C112" i="1"/>
  <c r="K85" i="1"/>
  <c r="Q58" i="1"/>
  <c r="C32" i="1"/>
  <c r="K165" i="1"/>
  <c r="Q154" i="1"/>
  <c r="Q146" i="1"/>
  <c r="K141" i="1"/>
  <c r="C136" i="1"/>
  <c r="Q130" i="1"/>
  <c r="K125" i="1"/>
  <c r="C120" i="1"/>
  <c r="Q114" i="1"/>
  <c r="K109" i="1"/>
  <c r="C104" i="1"/>
  <c r="Q98" i="1"/>
  <c r="K93" i="1"/>
  <c r="C88" i="1"/>
  <c r="Q82" i="1"/>
  <c r="K77" i="1"/>
  <c r="C72" i="1"/>
  <c r="Q66" i="1"/>
  <c r="K61" i="1"/>
  <c r="C56" i="1"/>
  <c r="Q50" i="1"/>
  <c r="K45" i="1"/>
  <c r="C40" i="1"/>
  <c r="Q34" i="1"/>
  <c r="K29" i="1"/>
  <c r="K13" i="1"/>
  <c r="S6" i="1"/>
  <c r="Q22" i="1"/>
  <c r="S58" i="1"/>
  <c r="F16" i="1"/>
  <c r="Q138" i="1"/>
  <c r="Q90" i="1"/>
  <c r="C64" i="1"/>
  <c r="K37" i="1"/>
  <c r="C164" i="1"/>
  <c r="K153" i="1"/>
  <c r="M145" i="1"/>
  <c r="F140" i="1"/>
  <c r="S134" i="1"/>
  <c r="M129" i="1"/>
  <c r="F124" i="1"/>
  <c r="S118" i="1"/>
  <c r="M113" i="1"/>
  <c r="F108" i="1"/>
  <c r="S102" i="1"/>
  <c r="M97" i="1"/>
  <c r="F92" i="1"/>
  <c r="S86" i="1"/>
  <c r="M81" i="1"/>
  <c r="F76" i="1"/>
  <c r="S70" i="1"/>
  <c r="M65" i="1"/>
  <c r="F60" i="1"/>
  <c r="S54" i="1"/>
  <c r="M49" i="1"/>
  <c r="F44" i="1"/>
  <c r="S38" i="1"/>
  <c r="M33" i="1"/>
  <c r="F28" i="1"/>
  <c r="S22" i="1"/>
  <c r="F12" i="1"/>
  <c r="C12" i="1"/>
  <c r="M53" i="1"/>
  <c r="M21" i="1"/>
  <c r="C144" i="1"/>
  <c r="C128" i="1"/>
  <c r="Q122" i="1"/>
  <c r="K117" i="1"/>
  <c r="C96" i="1"/>
  <c r="Q74" i="1"/>
  <c r="C48" i="1"/>
  <c r="K5" i="1"/>
  <c r="Q162" i="1"/>
  <c r="C152" i="1"/>
  <c r="K145" i="1"/>
  <c r="C140" i="1"/>
  <c r="Q134" i="1"/>
  <c r="K129" i="1"/>
  <c r="C124" i="1"/>
  <c r="Q118" i="1"/>
  <c r="K113" i="1"/>
  <c r="C108" i="1"/>
  <c r="Q102" i="1"/>
  <c r="K97" i="1"/>
  <c r="C92" i="1"/>
  <c r="Q86" i="1"/>
  <c r="K81" i="1"/>
  <c r="C76" i="1"/>
  <c r="Q70" i="1"/>
  <c r="K65" i="1"/>
  <c r="C60" i="1"/>
  <c r="Q54" i="1"/>
  <c r="K49" i="1"/>
  <c r="C44" i="1"/>
  <c r="Q38" i="1"/>
  <c r="K33" i="1"/>
  <c r="K17" i="1"/>
  <c r="F64" i="1"/>
  <c r="M37" i="1"/>
  <c r="S26" i="1"/>
  <c r="S10" i="1"/>
  <c r="C160" i="1"/>
  <c r="K101" i="1"/>
  <c r="K69" i="1"/>
  <c r="Q42" i="1"/>
  <c r="K21" i="1"/>
  <c r="K161" i="1"/>
  <c r="Q150" i="1"/>
  <c r="F144" i="1"/>
  <c r="S138" i="1"/>
  <c r="M133" i="1"/>
  <c r="F128" i="1"/>
  <c r="S122" i="1"/>
  <c r="M117" i="1"/>
  <c r="F112" i="1"/>
  <c r="S106" i="1"/>
  <c r="M101" i="1"/>
  <c r="F96" i="1"/>
  <c r="S90" i="1"/>
  <c r="M85" i="1"/>
  <c r="F80" i="1"/>
  <c r="S74" i="1"/>
  <c r="M69" i="1"/>
  <c r="S42" i="1"/>
  <c r="K133" i="1"/>
  <c r="Q106" i="1"/>
  <c r="C80" i="1"/>
  <c r="K53" i="1"/>
  <c r="Q26" i="1"/>
  <c r="Q158" i="1"/>
  <c r="K149" i="1"/>
  <c r="S142" i="1"/>
  <c r="M137" i="1"/>
  <c r="F132" i="1"/>
  <c r="S126" i="1"/>
  <c r="M121" i="1"/>
  <c r="F116" i="1"/>
  <c r="S110" i="1"/>
  <c r="M105" i="1"/>
  <c r="F100" i="1"/>
  <c r="S94" i="1"/>
  <c r="M89" i="1"/>
  <c r="F84" i="1"/>
  <c r="S78" i="1"/>
  <c r="M73" i="1"/>
  <c r="F68" i="1"/>
  <c r="S62" i="1"/>
  <c r="M57" i="1"/>
  <c r="F52" i="1"/>
  <c r="S46" i="1"/>
  <c r="M41" i="1"/>
  <c r="F36" i="1"/>
  <c r="S30" i="1"/>
  <c r="M25" i="1"/>
  <c r="F20" i="1"/>
  <c r="S14" i="1"/>
  <c r="M9" i="1"/>
  <c r="F4" i="1"/>
  <c r="C20" i="1"/>
  <c r="K9" i="1"/>
  <c r="C16" i="1"/>
  <c r="K157" i="1"/>
  <c r="F148" i="1"/>
  <c r="Q142" i="1"/>
  <c r="K137" i="1"/>
  <c r="C132" i="1"/>
  <c r="Q126" i="1"/>
  <c r="K121" i="1"/>
  <c r="C116" i="1"/>
  <c r="Q110" i="1"/>
  <c r="K105" i="1"/>
  <c r="C100" i="1"/>
  <c r="Q94" i="1"/>
  <c r="K89" i="1"/>
  <c r="C84" i="1"/>
  <c r="Q78" i="1"/>
  <c r="K73" i="1"/>
  <c r="C68" i="1"/>
  <c r="Q62" i="1"/>
  <c r="K57" i="1"/>
  <c r="C52" i="1"/>
  <c r="Q46" i="1"/>
  <c r="K41" i="1"/>
  <c r="C36" i="1"/>
  <c r="Q30" i="1"/>
  <c r="K25" i="1"/>
  <c r="Q14" i="1"/>
  <c r="C4" i="1"/>
  <c r="Q10" i="1"/>
</calcChain>
</file>

<file path=xl/sharedStrings.xml><?xml version="1.0" encoding="utf-8"?>
<sst xmlns="http://schemas.openxmlformats.org/spreadsheetml/2006/main" count="1042" uniqueCount="479">
  <si>
    <t>province_id</t>
  </si>
  <si>
    <t>province_name</t>
  </si>
  <si>
    <t>Province_name_eng</t>
  </si>
  <si>
    <t>district_code</t>
  </si>
  <si>
    <t>district_name</t>
  </si>
  <si>
    <t>district_name_eng</t>
  </si>
  <si>
    <t>constituency_no</t>
  </si>
  <si>
    <t>total_candidates</t>
  </si>
  <si>
    <t>total_votes_cast</t>
  </si>
  <si>
    <t>winner_name</t>
  </si>
  <si>
    <t>winner_name_eng</t>
  </si>
  <si>
    <t>winner_party</t>
  </si>
  <si>
    <t>winner_votes</t>
  </si>
  <si>
    <t>winner_vote_share_pct</t>
  </si>
  <si>
    <t>runner_up_name</t>
  </si>
  <si>
    <t>Runner_up_name_eng</t>
  </si>
  <si>
    <t>runner_up_party</t>
  </si>
  <si>
    <t>Runner_up_party_eng</t>
  </si>
  <si>
    <t>runner_up_votes</t>
  </si>
  <si>
    <t>runner_up_vote_share_pct</t>
  </si>
  <si>
    <t>victory_margin</t>
  </si>
  <si>
    <t>victory_margin_pct</t>
  </si>
  <si>
    <t>closest_race</t>
  </si>
  <si>
    <t>female_candidates</t>
  </si>
  <si>
    <t>independent_candidates</t>
  </si>
  <si>
    <t>कोशी प्रदेश</t>
  </si>
  <si>
    <t>ताप्लेजुङ</t>
  </si>
  <si>
    <t>क्षितिज थेबे</t>
  </si>
  <si>
    <t>Kshitiz Thebe</t>
  </si>
  <si>
    <t>नेपाल कम्युनिष्ट पार्टी (एकीकृत मार्क्सवादी लेनिनवादी)</t>
  </si>
  <si>
    <t>गजेन्द्र प्रसाद तुम्याङ लिम्बु</t>
  </si>
  <si>
    <t>नेपाली काँग्रेस</t>
  </si>
  <si>
    <t>पाँचथर</t>
  </si>
  <si>
    <t>नरेन्द्र कुमार केरुङ</t>
  </si>
  <si>
    <t>हस्त राज शेर्मा</t>
  </si>
  <si>
    <t>श्रम संस्कृति पार्टी</t>
  </si>
  <si>
    <t>इलाम</t>
  </si>
  <si>
    <t>निश्कल राई</t>
  </si>
  <si>
    <t>विनोद नेम्बाङ्ग लिम्बु</t>
  </si>
  <si>
    <t>सुहाङ नेम्बाङ</t>
  </si>
  <si>
    <t>भेषराज आचार्य</t>
  </si>
  <si>
    <t>झापा</t>
  </si>
  <si>
    <t>निशा डाँगी</t>
  </si>
  <si>
    <t>राष्ट्रिय स्वतन्त्र पार्टी</t>
  </si>
  <si>
    <t>केशव राज पाण्डे</t>
  </si>
  <si>
    <t>इन्दिरा राना मगर</t>
  </si>
  <si>
    <t>देव राज घिमिरे</t>
  </si>
  <si>
    <t>प्रकाश पाठक</t>
  </si>
  <si>
    <t>राजेन्द्र प्रसाद लिङ्देन</t>
  </si>
  <si>
    <t>राष्ट्रिय प्रजातन्त्र पार्टी</t>
  </si>
  <si>
    <t>शम्भु प्रसाद ढकाल</t>
  </si>
  <si>
    <t>लाल प्रसाद साँवा लिम्बू</t>
  </si>
  <si>
    <t>वालेन्द्र शाह</t>
  </si>
  <si>
    <t>के.पी शर्मा ओली</t>
  </si>
  <si>
    <t>संखुवासभा</t>
  </si>
  <si>
    <t>अर्जुन कुमार कार्की</t>
  </si>
  <si>
    <t>मिङमा शेर्पा</t>
  </si>
  <si>
    <t>तेह्रथुम</t>
  </si>
  <si>
    <t>सन्तोष सुब्वा</t>
  </si>
  <si>
    <t>भानु भक्त ढकाल</t>
  </si>
  <si>
    <t>भोजपुर</t>
  </si>
  <si>
    <t>ध्रुवराज राई</t>
  </si>
  <si>
    <t>शेरधन राई</t>
  </si>
  <si>
    <t>धनकुटा</t>
  </si>
  <si>
    <t>राजेन्द्र कुमार राई</t>
  </si>
  <si>
    <t>दिनेश राई</t>
  </si>
  <si>
    <t>मोरङ</t>
  </si>
  <si>
    <t>यज्ञमणि  न्याैपाने</t>
  </si>
  <si>
    <t>शान्ती पाख्रिन लामा</t>
  </si>
  <si>
    <t>कृष्ण कुमार कार्की</t>
  </si>
  <si>
    <t>दिलीप कुमार अग्रवाल</t>
  </si>
  <si>
    <t>गणेश कार्की</t>
  </si>
  <si>
    <t>शुनिल कुमार शर्मा</t>
  </si>
  <si>
    <t>सन्तोष राजवंशी</t>
  </si>
  <si>
    <t>गुरु राज घिमिरे</t>
  </si>
  <si>
    <t>आशा झा</t>
  </si>
  <si>
    <t>फुल कुमार लालवानी</t>
  </si>
  <si>
    <t>रुबिना आचार्य</t>
  </si>
  <si>
    <t>डा शेखर कोइराला</t>
  </si>
  <si>
    <t>सुनसरी</t>
  </si>
  <si>
    <t>हर्क राज राई</t>
  </si>
  <si>
    <t>गोमा तामाङ</t>
  </si>
  <si>
    <t>लाल बिक्रम थापा</t>
  </si>
  <si>
    <t>राजीव कोइराला</t>
  </si>
  <si>
    <t>अशोक कुमार चौधरी</t>
  </si>
  <si>
    <t>विजय कुमार गच्‍छदार</t>
  </si>
  <si>
    <t>दीपक कुमार साह</t>
  </si>
  <si>
    <t>ज्ञानेन्द्र बहादुर कार्की</t>
  </si>
  <si>
    <t>सोलुखुम्बु</t>
  </si>
  <si>
    <t>प्रकाश सिंह कार्की</t>
  </si>
  <si>
    <t>अशिम राई</t>
  </si>
  <si>
    <t>नेपाली कम्युनिष्ट पार्टी</t>
  </si>
  <si>
    <t>खोटाङ</t>
  </si>
  <si>
    <t>आरेन राई</t>
  </si>
  <si>
    <t>देव विक्रम राई</t>
  </si>
  <si>
    <t>ओखलढुंगा</t>
  </si>
  <si>
    <t>बिश्‍व राज पोखरेल</t>
  </si>
  <si>
    <t>कुमार लुईटेल</t>
  </si>
  <si>
    <t>उदयपुर</t>
  </si>
  <si>
    <t>पारश मणि गेलाल</t>
  </si>
  <si>
    <t>राजेश कुमार राई</t>
  </si>
  <si>
    <t>सुर्य बहादुर  तामाङ्ग</t>
  </si>
  <si>
    <t>अम्वर बहादुर रायामाझी</t>
  </si>
  <si>
    <t>मधेश प्रदेश</t>
  </si>
  <si>
    <t>सप्तरी</t>
  </si>
  <si>
    <t>पुष्पा कुमारी चौधरी</t>
  </si>
  <si>
    <t>सुमित कुमार -</t>
  </si>
  <si>
    <t>स्वाभिमान पार्टी</t>
  </si>
  <si>
    <t>रामजी यादव</t>
  </si>
  <si>
    <t>उमेश कुमार यादव</t>
  </si>
  <si>
    <t>जनता समाजवादी पार्टी, नेपाल</t>
  </si>
  <si>
    <t>अमर कान्त चौधरी</t>
  </si>
  <si>
    <t>उपेन्द्र यादव</t>
  </si>
  <si>
    <t>सिताराम साह</t>
  </si>
  <si>
    <t>तेजु लाल चौधरी</t>
  </si>
  <si>
    <t>सिराहा</t>
  </si>
  <si>
    <t>बब्लु गुप्ता</t>
  </si>
  <si>
    <t>राम सुन्दर चौधरी</t>
  </si>
  <si>
    <t>शिव शंकर यादव</t>
  </si>
  <si>
    <t>राम चन्द्र यादव</t>
  </si>
  <si>
    <t>शम्भु कुमार यादव</t>
  </si>
  <si>
    <t>लिलानाथ श्रेष्ठ</t>
  </si>
  <si>
    <t>तपेश्वर यादव</t>
  </si>
  <si>
    <t>अजय शंकर नायक</t>
  </si>
  <si>
    <t>धनुषा</t>
  </si>
  <si>
    <t>रामचन्द्र मण्डल</t>
  </si>
  <si>
    <t>राम पलटन साह</t>
  </si>
  <si>
    <t>राम विनोद यादव</t>
  </si>
  <si>
    <t>दिनेश प्रसाद  यादव परसैला</t>
  </si>
  <si>
    <t>मनिष झा</t>
  </si>
  <si>
    <t>विमलेन्द्र निधि</t>
  </si>
  <si>
    <t>राज  किशोर  महतो</t>
  </si>
  <si>
    <t>महेन्द्र यादव</t>
  </si>
  <si>
    <t>महोत्तरी</t>
  </si>
  <si>
    <t>प्रमोद कुमार महतो</t>
  </si>
  <si>
    <t>गिरिराज  मणी  पोखरेल</t>
  </si>
  <si>
    <t>दिपक कुमार साह</t>
  </si>
  <si>
    <t>शरत सिंह भण्डारी</t>
  </si>
  <si>
    <t>उज्‍ज्‍वल कुमार झा</t>
  </si>
  <si>
    <t>मुहमद रिजवान</t>
  </si>
  <si>
    <t>नेपाल संघीय समाजवादी पार्टी(एकल चुनाव चिन्ह)</t>
  </si>
  <si>
    <t>गौरी कुमारी</t>
  </si>
  <si>
    <t>सुरेन्‍द्र कुमार यादव</t>
  </si>
  <si>
    <t>सर्लाही</t>
  </si>
  <si>
    <t>नितिमा भण्डारी (कार्की)</t>
  </si>
  <si>
    <t>शम्भु लाल श्रेष्ठ</t>
  </si>
  <si>
    <t>रबिन महतो</t>
  </si>
  <si>
    <t>महिन्द्र राय यादव</t>
  </si>
  <si>
    <t>नरेन्द्र साह कलवार</t>
  </si>
  <si>
    <t>नारायण काजी श्रेष्‍ठ</t>
  </si>
  <si>
    <t>अमरेश कुमार सिह</t>
  </si>
  <si>
    <t>गगन कुमार थापा</t>
  </si>
  <si>
    <t>रौतहट</t>
  </si>
  <si>
    <t>राजेश कुमार चौधरी</t>
  </si>
  <si>
    <t>अजय कुमार गुप्‍ता</t>
  </si>
  <si>
    <t>मो. फिरदोश आलम</t>
  </si>
  <si>
    <t>किरण कुमार साह</t>
  </si>
  <si>
    <t>रविन्‍द्र पटेल</t>
  </si>
  <si>
    <t>गोविन्द चौधरी</t>
  </si>
  <si>
    <t>गणेश पौडेल</t>
  </si>
  <si>
    <t>देव प्रसाद तिमलसेना</t>
  </si>
  <si>
    <t>बारा</t>
  </si>
  <si>
    <t>गणेश धिमाल</t>
  </si>
  <si>
    <t>शम्भु बहादुर बुढाथोकी</t>
  </si>
  <si>
    <t>चन्दन कुमार सिंह</t>
  </si>
  <si>
    <t>रामकिशोर प्रसाद यादव</t>
  </si>
  <si>
    <t>अरबिन्द साह</t>
  </si>
  <si>
    <t>फरमुल्लाह मंसुर</t>
  </si>
  <si>
    <t>रहवर अंसारी</t>
  </si>
  <si>
    <t>कृष्ण कुमार श्रेष्ठ</t>
  </si>
  <si>
    <t>पर्सा</t>
  </si>
  <si>
    <t>बुद्धि प्रसाद पन्त</t>
  </si>
  <si>
    <t>प्रदिप यादव</t>
  </si>
  <si>
    <t>सुशील कुमार कानु</t>
  </si>
  <si>
    <t>अजय कुमार चौरसिया</t>
  </si>
  <si>
    <t>रामाकान्त प्रसाद चौरसीया</t>
  </si>
  <si>
    <t>सुरेन्‍द्र प्रसाद चौधरी</t>
  </si>
  <si>
    <t>टेक वहादुर शाक्य</t>
  </si>
  <si>
    <t>रमेश रिजाल</t>
  </si>
  <si>
    <t>बागमती प्रदेश</t>
  </si>
  <si>
    <t>दोलखा</t>
  </si>
  <si>
    <t>जगदीश खरेल</t>
  </si>
  <si>
    <t>पार्वत गुरुङ</t>
  </si>
  <si>
    <t>रामेछाप</t>
  </si>
  <si>
    <t>कृष्ण हरी बुढाथोकी</t>
  </si>
  <si>
    <t>माधव प्रसाद ढुंगेल</t>
  </si>
  <si>
    <t>सिन्धुली</t>
  </si>
  <si>
    <t>धनेन्द्र कार्की</t>
  </si>
  <si>
    <t>प्रदिप कुमार कटुवाल क्षेत्री (के सी)</t>
  </si>
  <si>
    <t>आशिष गजुरेल</t>
  </si>
  <si>
    <t>लेख नाथ दाहाल</t>
  </si>
  <si>
    <t>रसुवा</t>
  </si>
  <si>
    <t>मोहन आचार्य</t>
  </si>
  <si>
    <t>बसन्त भट्ट</t>
  </si>
  <si>
    <t>धादिङ</t>
  </si>
  <si>
    <t>आसिका तामाङ</t>
  </si>
  <si>
    <t>भुमि प्रसाद त्रिपाठी</t>
  </si>
  <si>
    <t>वोध नारायण श्रेष्‍ठ</t>
  </si>
  <si>
    <t>रमेश प्रसाद धमला</t>
  </si>
  <si>
    <t>नुवाकोट</t>
  </si>
  <si>
    <t>विक्रम तिमिल्सिना</t>
  </si>
  <si>
    <t>प्रकाश शरण महत</t>
  </si>
  <si>
    <t>अचुत्तम लामिछाने</t>
  </si>
  <si>
    <t>जगदिश्‍वर नरसिंह के.सी.</t>
  </si>
  <si>
    <t>काठमाडौं</t>
  </si>
  <si>
    <t>रन्‍जु न्‍यौपाने</t>
  </si>
  <si>
    <t>प्रबल  थापा क्षेत्री</t>
  </si>
  <si>
    <t>प्रदिप विष्‍ट</t>
  </si>
  <si>
    <t>हिमाल कार्की</t>
  </si>
  <si>
    <t>सुनिल के.सी.</t>
  </si>
  <si>
    <t>कबिर शर्मा</t>
  </si>
  <si>
    <t>राजु नाथ पाण्डे</t>
  </si>
  <si>
    <t>कुलमान घिसिङ्</t>
  </si>
  <si>
    <t>उज्यालो नेपाल पार्टी</t>
  </si>
  <si>
    <t>पुकार बम</t>
  </si>
  <si>
    <t>सचिन तिमल्सेना</t>
  </si>
  <si>
    <t>सस्मित पोखरेल</t>
  </si>
  <si>
    <t>प्रदीप पौडेल</t>
  </si>
  <si>
    <t>शिशिर  खनाल</t>
  </si>
  <si>
    <t>कृष्‍ण वानियाँ क्षेत्री</t>
  </si>
  <si>
    <t>गणेश पराजुली</t>
  </si>
  <si>
    <t>प्रमोद हरि गुरागाई</t>
  </si>
  <si>
    <t>विराज भक्त श्रेष्ठ</t>
  </si>
  <si>
    <t>सुमन सायमी</t>
  </si>
  <si>
    <t>डोल प्रसाद अर्याल</t>
  </si>
  <si>
    <t>नानु मैया बास्तोला</t>
  </si>
  <si>
    <t>भक्तपुर</t>
  </si>
  <si>
    <t>रुकेश रन्जित</t>
  </si>
  <si>
    <t>प्रेम सुवाल</t>
  </si>
  <si>
    <t>नेपाल मजदुर किसान पार्टी</t>
  </si>
  <si>
    <t>राजीव खत्री</t>
  </si>
  <si>
    <t>महेश बस्नेत</t>
  </si>
  <si>
    <t>ललितपुर</t>
  </si>
  <si>
    <t>बुद्ध रत्न महर्जन</t>
  </si>
  <si>
    <t>उदय शंशेर ज.ब.राणा</t>
  </si>
  <si>
    <t>जगदिश खरेल</t>
  </si>
  <si>
    <t>प्रेम कृष्ण महर्जन</t>
  </si>
  <si>
    <t>तोसीमा कार्की</t>
  </si>
  <si>
    <t>जितेन्द्र कुमार श्रेष्ठ</t>
  </si>
  <si>
    <t>काभ्रेपलाञ्चोक</t>
  </si>
  <si>
    <t>मधु कुमार चौलागाई</t>
  </si>
  <si>
    <t>गुणराज मुक्तान</t>
  </si>
  <si>
    <t>बदन कुमार भण्डारी</t>
  </si>
  <si>
    <t>मधु प्रसाद आचार्य</t>
  </si>
  <si>
    <t>सिन्धुपाल्चोक</t>
  </si>
  <si>
    <t>भरत प्रसाद पराजुली</t>
  </si>
  <si>
    <t>माधव सापकोटा</t>
  </si>
  <si>
    <t>युवराज दुलाल</t>
  </si>
  <si>
    <t>वंशलाल तामाङ</t>
  </si>
  <si>
    <t>मकवानपुर</t>
  </si>
  <si>
    <t>प्रकाश गौतम</t>
  </si>
  <si>
    <t>महालक्ष्मी उपाध्याय(डिना)</t>
  </si>
  <si>
    <t>प्रशान्त उप्रेती</t>
  </si>
  <si>
    <t>महेश कुमार वर्तौला</t>
  </si>
  <si>
    <t>चितवन</t>
  </si>
  <si>
    <t>हरि ढकाल</t>
  </si>
  <si>
    <t>राजेन्द्र प्रसाद वुर्लाकोटी</t>
  </si>
  <si>
    <t>रवि लामिछाने</t>
  </si>
  <si>
    <t>मिना कुमारी खरेल</t>
  </si>
  <si>
    <t>सोविता गौतम</t>
  </si>
  <si>
    <t>रेणु दाहाल</t>
  </si>
  <si>
    <t>गण्डकी प्रदेश</t>
  </si>
  <si>
    <t>गोरखा</t>
  </si>
  <si>
    <t>सुधन गुरुङ</t>
  </si>
  <si>
    <t>प्रेम कुमार खत्री</t>
  </si>
  <si>
    <t>कविन्द्र बुर्लाकोटी</t>
  </si>
  <si>
    <t>प्रकाश चन्‍द्र दवाडी</t>
  </si>
  <si>
    <t>मनाङ</t>
  </si>
  <si>
    <t>टेक बहादुर गुरुङ</t>
  </si>
  <si>
    <t>यशोदा गुरुङ (सुवेदी)</t>
  </si>
  <si>
    <t>लमजुङ</t>
  </si>
  <si>
    <t>धर्म राज के.सी</t>
  </si>
  <si>
    <t>पृथ्‍वी सुव्वा गुरुङ</t>
  </si>
  <si>
    <t>कास्की</t>
  </si>
  <si>
    <t>खडक राज पौडेल</t>
  </si>
  <si>
    <t>तिलक बहादुर रानाभाट</t>
  </si>
  <si>
    <t>उत्तम प्रसाद पौडेल</t>
  </si>
  <si>
    <t>रश्‍मि आचार्य</t>
  </si>
  <si>
    <t>बिना गुरुङ्ग</t>
  </si>
  <si>
    <t>मनोज गुरुङ्ग</t>
  </si>
  <si>
    <t>तनहुँ</t>
  </si>
  <si>
    <t>स्वर्णिम वाग्ले</t>
  </si>
  <si>
    <t>गोविन्द भट्टराई</t>
  </si>
  <si>
    <t>श्रीराम न्यौपाने</t>
  </si>
  <si>
    <t>शंकर भण्डारी</t>
  </si>
  <si>
    <t>स्याङजा</t>
  </si>
  <si>
    <t>धनन्जय रेग्मी</t>
  </si>
  <si>
    <t>भरत राज ढकाल</t>
  </si>
  <si>
    <t>झवि लाल डुम्रे</t>
  </si>
  <si>
    <t>भागवत प्रकाश मल्ल</t>
  </si>
  <si>
    <t>नवलपरासी (बर्दघाट सुस्ता पूर्व)</t>
  </si>
  <si>
    <t>राजन गौतम</t>
  </si>
  <si>
    <t>बाल कृष्ण घिमिरे</t>
  </si>
  <si>
    <t>मनिष खनाल</t>
  </si>
  <si>
    <t>तिल बहादुर महत क्षेत्री</t>
  </si>
  <si>
    <t>मुस्ताङ</t>
  </si>
  <si>
    <t>योगेश गौचन  थकाली</t>
  </si>
  <si>
    <t>इन्द्र धारा डादु विष्ट</t>
  </si>
  <si>
    <t>म्याग्दी</t>
  </si>
  <si>
    <t>महावीर पुन</t>
  </si>
  <si>
    <t>स्वतन्त्र</t>
  </si>
  <si>
    <t>हरीकृष्ण श्रेष्ठ</t>
  </si>
  <si>
    <t>बाग्लुङ</t>
  </si>
  <si>
    <t>सुशील खड्का</t>
  </si>
  <si>
    <t>भिम बहादुर श्रीस राना</t>
  </si>
  <si>
    <t>सोम शर्मा</t>
  </si>
  <si>
    <t>टेक राज पौडेल</t>
  </si>
  <si>
    <t>पर्वत</t>
  </si>
  <si>
    <t>सागर भुसाल</t>
  </si>
  <si>
    <t>अर्जुन प्रसाद जोशी</t>
  </si>
  <si>
    <t>लुम्बिनी प्रदेश</t>
  </si>
  <si>
    <t>गुल्मी</t>
  </si>
  <si>
    <t>सागर ढकाल</t>
  </si>
  <si>
    <t>प्रदिप कुमार ज्ञवाली</t>
  </si>
  <si>
    <t>गोविन्द पन्थी</t>
  </si>
  <si>
    <t>गोकर्ण राज विष्‍ट</t>
  </si>
  <si>
    <t>पाल्पा</t>
  </si>
  <si>
    <t>सन्दीप राना</t>
  </si>
  <si>
    <t>नारायण प्रसाद आचार्य</t>
  </si>
  <si>
    <t>माधव बहादुर थापा</t>
  </si>
  <si>
    <t>हिमाल दत्त श्रेष्ठ</t>
  </si>
  <si>
    <t>अर्घाखाँची</t>
  </si>
  <si>
    <t>हरी प्रसाद भुसाल</t>
  </si>
  <si>
    <t>पिताम्वर भुसाल</t>
  </si>
  <si>
    <t>रूपन्देही</t>
  </si>
  <si>
    <t>सुनिल लम्साल</t>
  </si>
  <si>
    <t>हिरा बहादुर खत्री</t>
  </si>
  <si>
    <t>सुलभ खरेल</t>
  </si>
  <si>
    <t>विष्‍णु प्रसाद पौडेल</t>
  </si>
  <si>
    <t>डा. लेखजंग थापा</t>
  </si>
  <si>
    <t>सुशील गुरुङ्ग</t>
  </si>
  <si>
    <t>कन्हैया बनिया</t>
  </si>
  <si>
    <t>प्रमोद कुमार यादव</t>
  </si>
  <si>
    <t>तौफिक अहमद खान</t>
  </si>
  <si>
    <t>खिम लाल भट्टराई</t>
  </si>
  <si>
    <t>कपिलबस्तु</t>
  </si>
  <si>
    <t>मोहन लाल आचार्य</t>
  </si>
  <si>
    <t>आशिष शर्मा</t>
  </si>
  <si>
    <t>विक्रम थापा</t>
  </si>
  <si>
    <t>सुरेन्द्र राज आचार्य</t>
  </si>
  <si>
    <t>अभिषेक प्रताप शाह</t>
  </si>
  <si>
    <t>प्रकाश रजौरिया</t>
  </si>
  <si>
    <t>रुकुम (पूर्वी भाग)</t>
  </si>
  <si>
    <t>पुष्प कमल दाहाल प्रचण्ड</t>
  </si>
  <si>
    <t>लिलामणी गौतम</t>
  </si>
  <si>
    <t>रोल्पा</t>
  </si>
  <si>
    <t>बर्षमान पुन</t>
  </si>
  <si>
    <t>सुदन कुमार वली</t>
  </si>
  <si>
    <t>प्यूठान</t>
  </si>
  <si>
    <t>सुशान्त वैदिक</t>
  </si>
  <si>
    <t>डा .गोविन्द राज पोखरेल</t>
  </si>
  <si>
    <t>दाङ</t>
  </si>
  <si>
    <t>देवराज पाठक</t>
  </si>
  <si>
    <t>योगेन्द्र चौधरी</t>
  </si>
  <si>
    <t>विपिन कुमार आचार्य</t>
  </si>
  <si>
    <t>शंकर पोख्रेल</t>
  </si>
  <si>
    <t>कमल सुबेदी</t>
  </si>
  <si>
    <t>दिपक गिरी</t>
  </si>
  <si>
    <t>बाँके</t>
  </si>
  <si>
    <t>सुरेश कुमार चौधरी</t>
  </si>
  <si>
    <t>नारायण प्रसाद गौडेल</t>
  </si>
  <si>
    <t>मोहम्मद इश्तियाक राई</t>
  </si>
  <si>
    <t>विवेक कुमार श्रेष्ठ</t>
  </si>
  <si>
    <t>खगेन्द्र सुनार</t>
  </si>
  <si>
    <t>सुमन मल्ल</t>
  </si>
  <si>
    <t>बर्दिया</t>
  </si>
  <si>
    <t>ठाकुर सिंह थारु</t>
  </si>
  <si>
    <t>सालीक राम अधिकारी</t>
  </si>
  <si>
    <t>श्रीधर पोख्रेल</t>
  </si>
  <si>
    <t>किशोर सिह राठोर</t>
  </si>
  <si>
    <t>नवलपरासी (बर्दघाट सुस्ता पश्चिम)</t>
  </si>
  <si>
    <t>विक्रम खनाल</t>
  </si>
  <si>
    <t>विनोद कुमार चौधरी</t>
  </si>
  <si>
    <t>नरेन्द्र कुमार गुप्‍ता</t>
  </si>
  <si>
    <t>भीम बहादुर थापा क्षेत्री</t>
  </si>
  <si>
    <t>कर्णाली प्रदेश</t>
  </si>
  <si>
    <t>सल्यान</t>
  </si>
  <si>
    <t>रमेश कुमार मल्ल</t>
  </si>
  <si>
    <t>ललित कुमार चन्द</t>
  </si>
  <si>
    <t>डोल्पा</t>
  </si>
  <si>
    <t>धन बहादुर बुढा</t>
  </si>
  <si>
    <t>लंक बहादुर रोकाया</t>
  </si>
  <si>
    <t>मुगु</t>
  </si>
  <si>
    <t>खड्ग शाही</t>
  </si>
  <si>
    <t>पूर्ण बहादुर रोकाया</t>
  </si>
  <si>
    <t>जुम्ला</t>
  </si>
  <si>
    <t>ज्ञान बहादुर शाही</t>
  </si>
  <si>
    <t>नरेश भण्‍डारी</t>
  </si>
  <si>
    <t>कालिकोट</t>
  </si>
  <si>
    <t>महेन्द्र बहादुर शाही</t>
  </si>
  <si>
    <t>श्री नगीन्द्र शाही</t>
  </si>
  <si>
    <t>हुम्ला</t>
  </si>
  <si>
    <t>जय पती रोकाया</t>
  </si>
  <si>
    <t>दीपेन्द्र रोकाया</t>
  </si>
  <si>
    <t>जाजरकोट</t>
  </si>
  <si>
    <t>खडक वहादुर वुढा</t>
  </si>
  <si>
    <t>शक्ति बहादुर वस्नेत</t>
  </si>
  <si>
    <t>दैलेख</t>
  </si>
  <si>
    <t>बासना थापा</t>
  </si>
  <si>
    <t>रविन्द्र राज शर्मा</t>
  </si>
  <si>
    <t>लक्ष्मी प्रसाद पोखरेल</t>
  </si>
  <si>
    <t>दिक्पाल कुमार शाहि</t>
  </si>
  <si>
    <t>सुर्खेत</t>
  </si>
  <si>
    <t>विष्णु बहादुर खड्का</t>
  </si>
  <si>
    <t>ध्रुवकुमार शाही</t>
  </si>
  <si>
    <t>रमेश कुमार सापकोटा</t>
  </si>
  <si>
    <t>नारायण कुमार कोइराला</t>
  </si>
  <si>
    <t>रुकुम (पश्चिम भाग)</t>
  </si>
  <si>
    <t>गोपाल शर्मा</t>
  </si>
  <si>
    <t>राजु के.सी.</t>
  </si>
  <si>
    <t>सुदूरपश्चिम प्रदेश</t>
  </si>
  <si>
    <t>बाजुरा</t>
  </si>
  <si>
    <t>जनक राज गिरी</t>
  </si>
  <si>
    <t>लाल बहादुर थापा</t>
  </si>
  <si>
    <t>अछाम</t>
  </si>
  <si>
    <t>भरत कुमार स्वार</t>
  </si>
  <si>
    <t>भीम बहादुर रावल</t>
  </si>
  <si>
    <t>यज्ञ बहादुर बोगटी</t>
  </si>
  <si>
    <t>पुष्प बहादुर शाह</t>
  </si>
  <si>
    <t>बझाङ</t>
  </si>
  <si>
    <t>ऐन बहादुर महर</t>
  </si>
  <si>
    <t>प्रकाश रसाइली स्नेही</t>
  </si>
  <si>
    <t>डोटी</t>
  </si>
  <si>
    <t>भरत बहादुर खड्का</t>
  </si>
  <si>
    <t>दीपक बहादुर धामी</t>
  </si>
  <si>
    <t>कैलाली</t>
  </si>
  <si>
    <t>कोमल ज्ञवाली</t>
  </si>
  <si>
    <t>जनकराज चौधरी</t>
  </si>
  <si>
    <t>के पी खनाल</t>
  </si>
  <si>
    <t>पति राम चौधरी</t>
  </si>
  <si>
    <t>नागरिक उन्मुक्ति पार्टी, नेपाल(एकल चुनाव चिन्ह)</t>
  </si>
  <si>
    <t>जगत प्रसाद जोशी</t>
  </si>
  <si>
    <t>विरमान चौधरी</t>
  </si>
  <si>
    <t>खेम राज कोईराला</t>
  </si>
  <si>
    <t>गोरख बहादुर विष्ट</t>
  </si>
  <si>
    <t>आनन्‍द बहादुर चन्‍द</t>
  </si>
  <si>
    <t>नर नारायण शाह</t>
  </si>
  <si>
    <t>दार्चुला</t>
  </si>
  <si>
    <t>गणेश सिंह ठगुन्ना</t>
  </si>
  <si>
    <t>धर्मानन्द जोशी</t>
  </si>
  <si>
    <t>बैतडी</t>
  </si>
  <si>
    <t>हरि मोहन भण्डारी</t>
  </si>
  <si>
    <t>चतुर बहादुर चन्द</t>
  </si>
  <si>
    <t>डडेलधुरा</t>
  </si>
  <si>
    <t>तारा प्रसाद जोशी</t>
  </si>
  <si>
    <t>नैन सिंह महर</t>
  </si>
  <si>
    <t>कञ्चनपुर</t>
  </si>
  <si>
    <t>जनक सिंह धामी</t>
  </si>
  <si>
    <t>बीना मगर</t>
  </si>
  <si>
    <t>दिपक राज बोहरा</t>
  </si>
  <si>
    <t>नारायण प्रकाश साउद</t>
  </si>
  <si>
    <t>ज्ञानेन्द्र सिंह महता</t>
  </si>
  <si>
    <t>हरि प्रसाद बोहरा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</si>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</sst>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Z167" totalsRowShown="0" headerRowDxfId="0" dataDxfId="1">
  <autoFilter ref="A1:Z167"/>
  <tableColumns count="26">
    <tableColumn id="1" name="Column1" dataDxfId="27"/>
    <tableColumn id="2" name="Column2" dataDxfId="26"/>
    <tableColumn id="3" name="Column3" dataDxfId="25"/>
    <tableColumn id="4" name="Column4" dataDxfId="24"/>
    <tableColumn id="5" name="Column5" dataDxfId="23"/>
    <tableColumn id="6" name="Column6" dataDxfId="22"/>
    <tableColumn id="7" name="Column7" dataDxfId="21"/>
    <tableColumn id="8" name="Column8" dataDxfId="20"/>
    <tableColumn id="9" name="Column9" dataDxfId="19"/>
    <tableColumn id="10" name="Column10" dataDxfId="18"/>
    <tableColumn id="11" name="Column11" dataDxfId="17"/>
    <tableColumn id="12" name="Column12" dataDxfId="16"/>
    <tableColumn id="13" name="Column13" dataDxfId="15"/>
    <tableColumn id="14" name="Column14" dataDxfId="14"/>
    <tableColumn id="15" name="Column15" dataDxfId="13"/>
    <tableColumn id="16" name="Column16" dataDxfId="12"/>
    <tableColumn id="17" name="Column17" dataDxfId="11"/>
    <tableColumn id="18" name="Column18" dataDxfId="10"/>
    <tableColumn id="19" name="Column19" dataDxfId="9"/>
    <tableColumn id="20" name="Column20" dataDxfId="8"/>
    <tableColumn id="21" name="Column21" dataDxfId="7"/>
    <tableColumn id="22" name="Column22" dataDxfId="6"/>
    <tableColumn id="23" name="Column23" dataDxfId="5"/>
    <tableColumn id="24" name="Column24" dataDxfId="4"/>
    <tableColumn id="25" name="Column25" dataDxfId="3"/>
    <tableColumn id="26" name="Column26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67"/>
  <sheetViews>
    <sheetView tabSelected="1" topLeftCell="P141" workbookViewId="0">
      <selection activeCell="R154" sqref="R154"/>
    </sheetView>
  </sheetViews>
  <sheetFormatPr defaultColWidth="12.6640625" defaultRowHeight="15.75" customHeight="1" x14ac:dyDescent="0.25"/>
  <cols>
    <col min="6" max="6" width="14.6640625" customWidth="1"/>
    <col min="11" max="11" width="25.109375" customWidth="1"/>
    <col min="12" max="12" width="34.77734375" customWidth="1"/>
    <col min="13" max="13" width="39.33203125" customWidth="1"/>
    <col min="16" max="17" width="22.33203125" customWidth="1"/>
    <col min="18" max="19" width="34.77734375" customWidth="1"/>
    <col min="25" max="25" width="14.88671875" customWidth="1"/>
  </cols>
  <sheetData>
    <row r="1" spans="1:26" x14ac:dyDescent="0.25">
      <c r="A1" s="1" t="s">
        <v>453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  <c r="P1" s="1" t="s">
        <v>468</v>
      </c>
      <c r="Q1" s="1" t="s">
        <v>469</v>
      </c>
      <c r="R1" s="1" t="s">
        <v>470</v>
      </c>
      <c r="S1" s="1" t="s">
        <v>471</v>
      </c>
      <c r="T1" s="1" t="s">
        <v>472</v>
      </c>
      <c r="U1" s="1" t="s">
        <v>473</v>
      </c>
      <c r="V1" s="1" t="s">
        <v>474</v>
      </c>
      <c r="W1" s="1" t="s">
        <v>475</v>
      </c>
      <c r="X1" s="1" t="s">
        <v>476</v>
      </c>
      <c r="Y1" s="1" t="s">
        <v>477</v>
      </c>
      <c r="Z1" s="1" t="s">
        <v>478</v>
      </c>
    </row>
    <row r="2" spans="1:2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/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</row>
    <row r="3" spans="1:26" x14ac:dyDescent="0.25">
      <c r="A3" s="1">
        <v>1</v>
      </c>
      <c r="B3" s="1" t="s">
        <v>25</v>
      </c>
      <c r="C3" s="1" t="str">
        <f ca="1">IFERROR(__xludf.DUMMYFUNCTION("GOOGLETRANSLATE(B2, ""ne"", ""en"")"),"Koshi region")</f>
        <v>Koshi region</v>
      </c>
      <c r="D3" s="1">
        <v>1</v>
      </c>
      <c r="E3" s="1" t="s">
        <v>26</v>
      </c>
      <c r="F3" s="1" t="str">
        <f ca="1">IFERROR(__xludf.DUMMYFUNCTION("GOOGLETRANSLATE(E2,""Ne"", ""en"")"),"Taplejung")</f>
        <v>Taplejung</v>
      </c>
      <c r="G3" s="1">
        <v>1</v>
      </c>
      <c r="H3" s="1">
        <v>13</v>
      </c>
      <c r="I3" s="1">
        <v>42897</v>
      </c>
      <c r="J3" s="1" t="s">
        <v>27</v>
      </c>
      <c r="K3" s="1" t="s">
        <v>28</v>
      </c>
      <c r="L3" s="1" t="s">
        <v>29</v>
      </c>
      <c r="M3" s="1"/>
      <c r="N3" s="1">
        <v>13962</v>
      </c>
      <c r="O3" s="1">
        <v>32.549999999999997</v>
      </c>
      <c r="P3" s="1" t="s">
        <v>30</v>
      </c>
      <c r="Q3" s="1" t="str">
        <f ca="1">IFERROR(__xludf.DUMMYFUNCTION("GOOGLETRANSLATE(P2,""ne"", ""en"")"),"Gajendra Prasad Tumyang Limbu")</f>
        <v>Gajendra Prasad Tumyang Limbu</v>
      </c>
      <c r="R3" s="1" t="s">
        <v>31</v>
      </c>
      <c r="S3" s="1" t="str">
        <f ca="1">IFERROR(__xludf.DUMMYFUNCTION("GOOGLETRANSLATE(R2, ""ne"", ""en"")"),"Nepali Congress")</f>
        <v>Nepali Congress</v>
      </c>
      <c r="T3" s="1">
        <v>11711</v>
      </c>
      <c r="U3" s="1">
        <v>27.3</v>
      </c>
      <c r="V3" s="1">
        <v>2251</v>
      </c>
      <c r="W3" s="1">
        <v>5.25</v>
      </c>
      <c r="X3" s="1" t="b">
        <v>0</v>
      </c>
      <c r="Y3" s="1">
        <v>0</v>
      </c>
      <c r="Z3" s="1">
        <v>0</v>
      </c>
    </row>
    <row r="4" spans="1:26" x14ac:dyDescent="0.25">
      <c r="A4" s="1">
        <v>1</v>
      </c>
      <c r="B4" s="1" t="s">
        <v>25</v>
      </c>
      <c r="C4" s="1" t="str">
        <f ca="1">IFERROR(__xludf.DUMMYFUNCTION("GOOGLETRANSLATE(B3, ""ne"", ""en"")"),"Koshi region")</f>
        <v>Koshi region</v>
      </c>
      <c r="D4" s="1">
        <v>2</v>
      </c>
      <c r="E4" s="1" t="s">
        <v>32</v>
      </c>
      <c r="F4" s="1" t="str">
        <f ca="1">IFERROR(__xludf.DUMMYFUNCTION("GOOGLETRANSLATE(E3,""ne"", ""en"")"),"Panchthar")</f>
        <v>Panchthar</v>
      </c>
      <c r="G4" s="1">
        <v>1</v>
      </c>
      <c r="H4" s="1">
        <v>15</v>
      </c>
      <c r="I4" s="1">
        <v>66921</v>
      </c>
      <c r="J4" s="1" t="s">
        <v>33</v>
      </c>
      <c r="K4" s="1" t="str">
        <f ca="1">IFERROR(__xludf.DUMMYFUNCTION("GOOGLETRANSLATE(J3, ""ne"", ""en"")"),"Narendra Kumar Kerung")</f>
        <v>Narendra Kumar Kerung</v>
      </c>
      <c r="L4" s="1" t="s">
        <v>31</v>
      </c>
      <c r="M4" s="1" t="str">
        <f ca="1">IFERROR(__xludf.DUMMYFUNCTION("GOOGLETRANSLATE(L3, ""ne"", ""en"")"),"Nepali Congress")</f>
        <v>Nepali Congress</v>
      </c>
      <c r="N4" s="1">
        <v>17233</v>
      </c>
      <c r="O4" s="1">
        <v>25.75</v>
      </c>
      <c r="P4" s="1" t="s">
        <v>34</v>
      </c>
      <c r="Q4" s="1" t="str">
        <f ca="1">IFERROR(__xludf.DUMMYFUNCTION("GOOGLETRANSLATE(P3,""ne"", ""en"")"),"Hast Raj Sherma")</f>
        <v>Hast Raj Sherma</v>
      </c>
      <c r="R4" s="1" t="s">
        <v>35</v>
      </c>
      <c r="S4" s="1" t="str">
        <f ca="1">IFERROR(__xludf.DUMMYFUNCTION("GOOGLETRANSLATE(R3, ""ne"", ""en"")"),"Labor Culture Party")</f>
        <v>Labor Culture Party</v>
      </c>
      <c r="T4" s="1">
        <v>14734</v>
      </c>
      <c r="U4" s="1">
        <v>22.02</v>
      </c>
      <c r="V4" s="1">
        <v>2499</v>
      </c>
      <c r="W4" s="1">
        <v>3.73</v>
      </c>
      <c r="X4" s="1" t="b">
        <v>0</v>
      </c>
      <c r="Y4" s="1">
        <v>0</v>
      </c>
      <c r="Z4" s="1">
        <v>0</v>
      </c>
    </row>
    <row r="5" spans="1:26" x14ac:dyDescent="0.25">
      <c r="A5" s="1">
        <v>1</v>
      </c>
      <c r="B5" s="1" t="s">
        <v>25</v>
      </c>
      <c r="C5" s="1" t="str">
        <f ca="1">IFERROR(__xludf.DUMMYFUNCTION("GOOGLETRANSLATE(B4, ""ne"", ""en"")"),"Koshi region")</f>
        <v>Koshi region</v>
      </c>
      <c r="D5" s="1">
        <v>3</v>
      </c>
      <c r="E5" s="1" t="s">
        <v>36</v>
      </c>
      <c r="F5" s="1" t="str">
        <f ca="1">IFERROR(__xludf.DUMMYFUNCTION("GOOGLETRANSLATE(E4,""ne"", ""en"")"),"Ilam")</f>
        <v>Ilam</v>
      </c>
      <c r="G5" s="1">
        <v>1</v>
      </c>
      <c r="H5" s="1">
        <v>13</v>
      </c>
      <c r="I5" s="1">
        <v>59391</v>
      </c>
      <c r="J5" s="1" t="s">
        <v>37</v>
      </c>
      <c r="K5" s="1" t="str">
        <f ca="1">IFERROR(__xludf.DUMMYFUNCTION("GOOGLETRANSLATE(J4, ""ne"", ""en"")"),"Pure rye")</f>
        <v>Pure rye</v>
      </c>
      <c r="L5" s="1" t="s">
        <v>31</v>
      </c>
      <c r="M5" s="1" t="str">
        <f ca="1">IFERROR(__xludf.DUMMYFUNCTION("GOOGLETRANSLATE(L4, ""ne"", ""en"")"),"Nepali Congress")</f>
        <v>Nepali Congress</v>
      </c>
      <c r="N5" s="1">
        <v>14543</v>
      </c>
      <c r="O5" s="1">
        <v>24.49</v>
      </c>
      <c r="P5" s="1" t="s">
        <v>38</v>
      </c>
      <c r="Q5" s="1" t="str">
        <f ca="1">IFERROR(__xludf.DUMMYFUNCTION("GOOGLETRANSLATE(P4,""ne"", ""en"")"),"Vinod Nembang Limbu")</f>
        <v>Vinod Nembang Limbu</v>
      </c>
      <c r="R5" s="1" t="s">
        <v>35</v>
      </c>
      <c r="S5" s="1" t="str">
        <f ca="1">IFERROR(__xludf.DUMMYFUNCTION("GOOGLETRANSLATE(R4, ""ne"", ""en"")"),"Labor Culture Party")</f>
        <v>Labor Culture Party</v>
      </c>
      <c r="T5" s="1">
        <v>13632</v>
      </c>
      <c r="U5" s="1">
        <v>22.95</v>
      </c>
      <c r="V5" s="1">
        <v>911</v>
      </c>
      <c r="W5" s="1">
        <v>1.53</v>
      </c>
      <c r="X5" s="1" t="b">
        <v>1</v>
      </c>
      <c r="Y5" s="1">
        <v>2</v>
      </c>
      <c r="Z5" s="1">
        <v>0</v>
      </c>
    </row>
    <row r="6" spans="1:26" x14ac:dyDescent="0.25">
      <c r="A6" s="1">
        <v>1</v>
      </c>
      <c r="B6" s="1" t="s">
        <v>25</v>
      </c>
      <c r="C6" s="1" t="str">
        <f ca="1">IFERROR(__xludf.DUMMYFUNCTION("GOOGLETRANSLATE(B5, ""ne"", ""en"")"),"Koshi region")</f>
        <v>Koshi region</v>
      </c>
      <c r="D6" s="1">
        <v>3</v>
      </c>
      <c r="E6" s="1" t="s">
        <v>36</v>
      </c>
      <c r="F6" s="1" t="str">
        <f ca="1">IFERROR(__xludf.DUMMYFUNCTION("GOOGLETRANSLATE(E5,""ne"", ""en"")"),"Ilam")</f>
        <v>Ilam</v>
      </c>
      <c r="G6" s="1">
        <v>2</v>
      </c>
      <c r="H6" s="1">
        <v>14</v>
      </c>
      <c r="I6" s="1">
        <v>63781</v>
      </c>
      <c r="J6" s="1" t="s">
        <v>39</v>
      </c>
      <c r="K6" s="1" t="str">
        <f ca="1">IFERROR(__xludf.DUMMYFUNCTION("GOOGLETRANSLATE(J5, ""ne"", ""en"")"),"Suhang Nembang")</f>
        <v>Suhang Nembang</v>
      </c>
      <c r="L6" s="1" t="s">
        <v>29</v>
      </c>
      <c r="M6" s="1" t="str">
        <f ca="1">IFERROR(__xludf.DUMMYFUNCTION("GOOGLETRANSLATE(L5, ""ne"", ""en"")"),"Communist Party of Nepal (Unified Marxist-Leninist)")</f>
        <v>Communist Party of Nepal (Unified Marxist-Leninist)</v>
      </c>
      <c r="N6" s="1">
        <v>22426</v>
      </c>
      <c r="O6" s="1">
        <v>35.159999999999997</v>
      </c>
      <c r="P6" s="1" t="s">
        <v>40</v>
      </c>
      <c r="Q6" s="1" t="str">
        <f ca="1">IFERROR(__xludf.DUMMYFUNCTION("GOOGLETRANSLATE(P5,""ne"", ""en"")"),"Bhesharaj Acharya")</f>
        <v>Bhesharaj Acharya</v>
      </c>
      <c r="R6" s="1" t="s">
        <v>31</v>
      </c>
      <c r="S6" s="1" t="str">
        <f ca="1">IFERROR(__xludf.DUMMYFUNCTION("GOOGLETRANSLATE(R5, ""ne"", ""en"")"),"Nepali Congress")</f>
        <v>Nepali Congress</v>
      </c>
      <c r="T6" s="1">
        <v>14650</v>
      </c>
      <c r="U6" s="1">
        <v>22.97</v>
      </c>
      <c r="V6" s="1">
        <v>7776</v>
      </c>
      <c r="W6" s="1">
        <v>12.19</v>
      </c>
      <c r="X6" s="1" t="b">
        <v>0</v>
      </c>
      <c r="Y6" s="1">
        <v>1</v>
      </c>
      <c r="Z6" s="1">
        <v>1</v>
      </c>
    </row>
    <row r="7" spans="1:26" x14ac:dyDescent="0.25">
      <c r="A7" s="1">
        <v>1</v>
      </c>
      <c r="B7" s="1" t="s">
        <v>25</v>
      </c>
      <c r="C7" s="1" t="str">
        <f ca="1">IFERROR(__xludf.DUMMYFUNCTION("GOOGLETRANSLATE(B6, ""ne"", ""en"")"),"Koshi region")</f>
        <v>Koshi region</v>
      </c>
      <c r="D7" s="1">
        <v>4</v>
      </c>
      <c r="E7" s="1" t="s">
        <v>41</v>
      </c>
      <c r="F7" s="1" t="str">
        <f ca="1">IFERROR(__xludf.DUMMYFUNCTION("GOOGLETRANSLATE(E6,""ne"", ""en"")"),"Jhapa")</f>
        <v>Jhapa</v>
      </c>
      <c r="G7" s="1">
        <v>1</v>
      </c>
      <c r="H7" s="1">
        <v>15</v>
      </c>
      <c r="I7" s="1">
        <v>78291</v>
      </c>
      <c r="J7" s="1" t="s">
        <v>42</v>
      </c>
      <c r="K7" s="1" t="str">
        <f ca="1">IFERROR(__xludf.DUMMYFUNCTION("GOOGLETRANSLATE(J6, ""ne"", ""en"")"),"Nisha Dangi")</f>
        <v>Nisha Dangi</v>
      </c>
      <c r="L7" s="1" t="s">
        <v>43</v>
      </c>
      <c r="M7" s="1" t="str">
        <f ca="1">IFERROR(__xludf.DUMMYFUNCTION("GOOGLETRANSLATE(L6, ""ne"", ""en"")"),"National Independence Party")</f>
        <v>National Independence Party</v>
      </c>
      <c r="N7" s="1">
        <v>45680</v>
      </c>
      <c r="O7" s="1">
        <v>58.35</v>
      </c>
      <c r="P7" s="1" t="s">
        <v>44</v>
      </c>
      <c r="Q7" s="1" t="str">
        <f ca="1">IFERROR(__xludf.DUMMYFUNCTION("GOOGLETRANSLATE(P6,""ne"", ""en"")"),"Keshav Raj Pandey")</f>
        <v>Keshav Raj Pandey</v>
      </c>
      <c r="R7" s="1" t="s">
        <v>31</v>
      </c>
      <c r="S7" s="1" t="str">
        <f ca="1">IFERROR(__xludf.DUMMYFUNCTION("GOOGLETRANSLATE(R6, ""ne"", ""en"")"),"Nepali Congress")</f>
        <v>Nepali Congress</v>
      </c>
      <c r="T7" s="1">
        <v>10550</v>
      </c>
      <c r="U7" s="1">
        <v>13.48</v>
      </c>
      <c r="V7" s="1">
        <v>35130</v>
      </c>
      <c r="W7" s="1">
        <v>44.87</v>
      </c>
      <c r="X7" s="1" t="b">
        <v>0</v>
      </c>
      <c r="Y7" s="1">
        <v>2</v>
      </c>
      <c r="Z7" s="1">
        <v>2</v>
      </c>
    </row>
    <row r="8" spans="1:26" x14ac:dyDescent="0.25">
      <c r="A8" s="1">
        <v>1</v>
      </c>
      <c r="B8" s="1" t="s">
        <v>25</v>
      </c>
      <c r="C8" s="1" t="str">
        <f ca="1">IFERROR(__xludf.DUMMYFUNCTION("GOOGLETRANSLATE(B7, ""ne"", ""en"")"),"Koshi region")</f>
        <v>Koshi region</v>
      </c>
      <c r="D8" s="1">
        <v>4</v>
      </c>
      <c r="E8" s="1" t="s">
        <v>41</v>
      </c>
      <c r="F8" s="1" t="str">
        <f ca="1">IFERROR(__xludf.DUMMYFUNCTION("GOOGLETRANSLATE(E7,""ne"", ""en"")"),"Jhapa")</f>
        <v>Jhapa</v>
      </c>
      <c r="G8" s="1">
        <v>2</v>
      </c>
      <c r="H8" s="1">
        <v>18</v>
      </c>
      <c r="I8" s="1">
        <v>91323</v>
      </c>
      <c r="J8" s="1" t="s">
        <v>45</v>
      </c>
      <c r="K8" s="1" t="str">
        <f ca="1">IFERROR(__xludf.DUMMYFUNCTION("GOOGLETRANSLATE(J7, ""ne"", ""en"")"),"Indira Rana Magar")</f>
        <v>Indira Rana Magar</v>
      </c>
      <c r="L8" s="1" t="s">
        <v>43</v>
      </c>
      <c r="M8" s="1" t="str">
        <f ca="1">IFERROR(__xludf.DUMMYFUNCTION("GOOGLETRANSLATE(L7, ""ne"", ""en"")"),"National Independence Party")</f>
        <v>National Independence Party</v>
      </c>
      <c r="N8" s="1">
        <v>60110</v>
      </c>
      <c r="O8" s="1">
        <v>65.819999999999993</v>
      </c>
      <c r="P8" s="1" t="s">
        <v>46</v>
      </c>
      <c r="Q8" s="1" t="str">
        <f ca="1">IFERROR(__xludf.DUMMYFUNCTION("GOOGLETRANSLATE(P7,""ne"", ""en"")"),"Dev Raj Ghimire")</f>
        <v>Dev Raj Ghimire</v>
      </c>
      <c r="R8" s="1" t="s">
        <v>29</v>
      </c>
      <c r="S8" s="1" t="str">
        <f ca="1">IFERROR(__xludf.DUMMYFUNCTION("GOOGLETRANSLATE(R7, ""ne"", ""en"")"),"Communist Party of Nepal (Unified Marxist-Leninist)")</f>
        <v>Communist Party of Nepal (Unified Marxist-Leninist)</v>
      </c>
      <c r="T8" s="1">
        <v>11368</v>
      </c>
      <c r="U8" s="1">
        <v>12.45</v>
      </c>
      <c r="V8" s="1">
        <v>48742</v>
      </c>
      <c r="W8" s="1">
        <v>53.37</v>
      </c>
      <c r="X8" s="1" t="b">
        <v>0</v>
      </c>
      <c r="Y8" s="1">
        <v>5</v>
      </c>
      <c r="Z8" s="1">
        <v>3</v>
      </c>
    </row>
    <row r="9" spans="1:26" x14ac:dyDescent="0.25">
      <c r="A9" s="1">
        <v>1</v>
      </c>
      <c r="B9" s="1" t="s">
        <v>25</v>
      </c>
      <c r="C9" s="1" t="str">
        <f ca="1">IFERROR(__xludf.DUMMYFUNCTION("GOOGLETRANSLATE(B8, ""ne"", ""en"")"),"Koshi region")</f>
        <v>Koshi region</v>
      </c>
      <c r="D9" s="1">
        <v>4</v>
      </c>
      <c r="E9" s="1" t="s">
        <v>41</v>
      </c>
      <c r="F9" s="1" t="str">
        <f ca="1">IFERROR(__xludf.DUMMYFUNCTION("GOOGLETRANSLATE(E8,""ne"", ""en"")"),"Jhapa")</f>
        <v>Jhapa</v>
      </c>
      <c r="G9" s="1">
        <v>3</v>
      </c>
      <c r="H9" s="1">
        <v>17</v>
      </c>
      <c r="I9" s="1">
        <v>82506</v>
      </c>
      <c r="J9" s="1" t="s">
        <v>47</v>
      </c>
      <c r="K9" s="1" t="str">
        <f ca="1">IFERROR(__xludf.DUMMYFUNCTION("GOOGLETRANSLATE(J8, ""ne"", ""en"")"),"Prakash Pathak")</f>
        <v>Prakash Pathak</v>
      </c>
      <c r="L9" s="1" t="s">
        <v>43</v>
      </c>
      <c r="M9" s="1" t="str">
        <f ca="1">IFERROR(__xludf.DUMMYFUNCTION("GOOGLETRANSLATE(L8, ""ne"", ""en"")"),"National Independence Party")</f>
        <v>National Independence Party</v>
      </c>
      <c r="N9" s="1">
        <v>38674</v>
      </c>
      <c r="O9" s="1">
        <v>46.87</v>
      </c>
      <c r="P9" s="1" t="s">
        <v>48</v>
      </c>
      <c r="Q9" s="1" t="str">
        <f ca="1">IFERROR(__xludf.DUMMYFUNCTION("GOOGLETRANSLATE(P8,""ne"", ""en"")"),"Rajendra Prasad Lingden")</f>
        <v>Rajendra Prasad Lingden</v>
      </c>
      <c r="R9" s="1" t="s">
        <v>49</v>
      </c>
      <c r="S9" s="1" t="str">
        <f ca="1">IFERROR(__xludf.DUMMYFUNCTION("GOOGLETRANSLATE(R8, ""ne"", ""en"")"),"National Democratic Party")</f>
        <v>National Democratic Party</v>
      </c>
      <c r="T9" s="1">
        <v>17294</v>
      </c>
      <c r="U9" s="1">
        <v>20.96</v>
      </c>
      <c r="V9" s="1">
        <v>21380</v>
      </c>
      <c r="W9" s="1">
        <v>25.91</v>
      </c>
      <c r="X9" s="1" t="b">
        <v>0</v>
      </c>
      <c r="Y9" s="1">
        <v>3</v>
      </c>
      <c r="Z9" s="1">
        <v>2</v>
      </c>
    </row>
    <row r="10" spans="1:26" x14ac:dyDescent="0.25">
      <c r="A10" s="1">
        <v>1</v>
      </c>
      <c r="B10" s="1" t="s">
        <v>25</v>
      </c>
      <c r="C10" s="1" t="str">
        <f ca="1">IFERROR(__xludf.DUMMYFUNCTION("GOOGLETRANSLATE(B9, ""ne"", ""en"")"),"Koshi region")</f>
        <v>Koshi region</v>
      </c>
      <c r="D10" s="1">
        <v>4</v>
      </c>
      <c r="E10" s="1" t="s">
        <v>41</v>
      </c>
      <c r="F10" s="1" t="str">
        <f ca="1">IFERROR(__xludf.DUMMYFUNCTION("GOOGLETRANSLATE(E9,""ne"", ""en"")"),"Jhapa")</f>
        <v>Jhapa</v>
      </c>
      <c r="G10" s="1">
        <v>4</v>
      </c>
      <c r="H10" s="1">
        <v>16</v>
      </c>
      <c r="I10" s="1">
        <v>77054</v>
      </c>
      <c r="J10" s="1" t="s">
        <v>50</v>
      </c>
      <c r="K10" s="1" t="str">
        <f ca="1">IFERROR(__xludf.DUMMYFUNCTION("GOOGLETRANSLATE(J9, ""ne"", ""en"")"),"Shambhu Prasad Dhakal")</f>
        <v>Shambhu Prasad Dhakal</v>
      </c>
      <c r="L10" s="1" t="s">
        <v>43</v>
      </c>
      <c r="M10" s="1" t="str">
        <f ca="1">IFERROR(__xludf.DUMMYFUNCTION("GOOGLETRANSLATE(L9, ""ne"", ""en"")"),"National Independence Party")</f>
        <v>National Independence Party</v>
      </c>
      <c r="N10" s="1">
        <v>43631</v>
      </c>
      <c r="O10" s="1">
        <v>56.62</v>
      </c>
      <c r="P10" s="1" t="s">
        <v>51</v>
      </c>
      <c r="Q10" s="1" t="str">
        <f ca="1">IFERROR(__xludf.DUMMYFUNCTION("GOOGLETRANSLATE(P9,""ne"", ""en"")"),"Lal Prasad Sanwa Limbu")</f>
        <v>Lal Prasad Sanwa Limbu</v>
      </c>
      <c r="R10" s="1" t="s">
        <v>29</v>
      </c>
      <c r="S10" s="1" t="str">
        <f ca="1">IFERROR(__xludf.DUMMYFUNCTION("GOOGLETRANSLATE(R9, ""ne"", ""en"")"),"Communist Party of Nepal (Unified Marxist-Leninist)")</f>
        <v>Communist Party of Nepal (Unified Marxist-Leninist)</v>
      </c>
      <c r="T10" s="1">
        <v>11986</v>
      </c>
      <c r="U10" s="1">
        <v>15.56</v>
      </c>
      <c r="V10" s="1">
        <v>31645</v>
      </c>
      <c r="W10" s="1">
        <v>41.07</v>
      </c>
      <c r="X10" s="1" t="b">
        <v>0</v>
      </c>
      <c r="Y10" s="1">
        <v>2</v>
      </c>
      <c r="Z10" s="1">
        <v>1</v>
      </c>
    </row>
    <row r="11" spans="1:26" x14ac:dyDescent="0.25">
      <c r="A11" s="1">
        <v>1</v>
      </c>
      <c r="B11" s="1" t="s">
        <v>25</v>
      </c>
      <c r="C11" s="1" t="str">
        <f ca="1">IFERROR(__xludf.DUMMYFUNCTION("GOOGLETRANSLATE(B10, ""ne"", ""en"")"),"Koshi region")</f>
        <v>Koshi region</v>
      </c>
      <c r="D11" s="1">
        <v>4</v>
      </c>
      <c r="E11" s="1" t="s">
        <v>41</v>
      </c>
      <c r="F11" s="1" t="str">
        <f ca="1">IFERROR(__xludf.DUMMYFUNCTION("GOOGLETRANSLATE(E10,""ne"", ""en"")"),"Jhapa")</f>
        <v>Jhapa</v>
      </c>
      <c r="G11" s="1">
        <v>5</v>
      </c>
      <c r="H11" s="1">
        <v>24</v>
      </c>
      <c r="I11" s="1">
        <v>102338</v>
      </c>
      <c r="J11" s="1" t="s">
        <v>52</v>
      </c>
      <c r="K11" s="1" t="str">
        <f ca="1">IFERROR(__xludf.DUMMYFUNCTION("GOOGLETRANSLATE(J10, ""ne"", ""en"")"),"Walendra Shah")</f>
        <v>Walendra Shah</v>
      </c>
      <c r="L11" s="1" t="s">
        <v>43</v>
      </c>
      <c r="M11" s="1" t="str">
        <f ca="1">IFERROR(__xludf.DUMMYFUNCTION("GOOGLETRANSLATE(L10, ""ne"", ""en"")"),"National Independence Party")</f>
        <v>National Independence Party</v>
      </c>
      <c r="N11" s="1">
        <v>68348</v>
      </c>
      <c r="O11" s="1">
        <v>66.790000000000006</v>
      </c>
      <c r="P11" s="1" t="s">
        <v>53</v>
      </c>
      <c r="Q11" s="1" t="str">
        <f ca="1">IFERROR(__xludf.DUMMYFUNCTION("GOOGLETRANSLATE(P10,""ne"", ""en"")"),"KP Sharma Oli")</f>
        <v>KP Sharma Oli</v>
      </c>
      <c r="R11" s="1" t="s">
        <v>29</v>
      </c>
      <c r="S11" s="1" t="str">
        <f ca="1">IFERROR(__xludf.DUMMYFUNCTION("GOOGLETRANSLATE(R10, ""ne"", ""en"")"),"Communist Party of Nepal (Unified Marxist-Leninist)")</f>
        <v>Communist Party of Nepal (Unified Marxist-Leninist)</v>
      </c>
      <c r="T11" s="1">
        <v>18734</v>
      </c>
      <c r="U11" s="1">
        <v>18.309999999999999</v>
      </c>
      <c r="V11" s="1">
        <v>49614</v>
      </c>
      <c r="W11" s="1">
        <v>48.48</v>
      </c>
      <c r="X11" s="1" t="b">
        <v>0</v>
      </c>
      <c r="Y11" s="1">
        <v>3</v>
      </c>
      <c r="Z11" s="1">
        <v>9</v>
      </c>
    </row>
    <row r="12" spans="1:26" x14ac:dyDescent="0.25">
      <c r="A12" s="1">
        <v>1</v>
      </c>
      <c r="B12" s="1" t="s">
        <v>25</v>
      </c>
      <c r="C12" s="1" t="str">
        <f ca="1">IFERROR(__xludf.DUMMYFUNCTION("GOOGLETRANSLATE(B11, ""ne"", ""en"")"),"Koshi region")</f>
        <v>Koshi region</v>
      </c>
      <c r="D12" s="1">
        <v>5</v>
      </c>
      <c r="E12" s="1" t="s">
        <v>54</v>
      </c>
      <c r="F12" s="1" t="str">
        <f ca="1">IFERROR(__xludf.DUMMYFUNCTION("GOOGLETRANSLATE(E11,""ne"", ""en"")"),"Sankhuwasabha")</f>
        <v>Sankhuwasabha</v>
      </c>
      <c r="G12" s="1">
        <v>1</v>
      </c>
      <c r="H12" s="1">
        <v>16</v>
      </c>
      <c r="I12" s="1">
        <v>58888</v>
      </c>
      <c r="J12" s="1" t="s">
        <v>55</v>
      </c>
      <c r="K12" s="1" t="str">
        <f ca="1">IFERROR(__xludf.DUMMYFUNCTION("GOOGLETRANSLATE(J11, ""ne"", ""en"")"),"Arjun Kumar Karki")</f>
        <v>Arjun Kumar Karki</v>
      </c>
      <c r="L12" s="1" t="s">
        <v>29</v>
      </c>
      <c r="M12" s="1" t="str">
        <f ca="1">IFERROR(__xludf.DUMMYFUNCTION("GOOGLETRANSLATE(L11, ""ne"", ""en"")"),"Communist Party of Nepal (Unified Marxist-Leninist)")</f>
        <v>Communist Party of Nepal (Unified Marxist-Leninist)</v>
      </c>
      <c r="N12" s="1">
        <v>15636</v>
      </c>
      <c r="O12" s="1">
        <v>26.55</v>
      </c>
      <c r="P12" s="1" t="s">
        <v>56</v>
      </c>
      <c r="Q12" s="1" t="str">
        <f ca="1">IFERROR(__xludf.DUMMYFUNCTION("GOOGLETRANSLATE(P11,""ne"", ""en"")"),"Mingma Sherpa")</f>
        <v>Mingma Sherpa</v>
      </c>
      <c r="R12" s="1" t="s">
        <v>43</v>
      </c>
      <c r="S12" s="1" t="str">
        <f ca="1">IFERROR(__xludf.DUMMYFUNCTION("GOOGLETRANSLATE(R11, ""ne"", ""en"")"),"National Independence Party")</f>
        <v>National Independence Party</v>
      </c>
      <c r="T12" s="1">
        <v>15000</v>
      </c>
      <c r="U12" s="1">
        <v>25.47</v>
      </c>
      <c r="V12" s="1">
        <v>636</v>
      </c>
      <c r="W12" s="1">
        <v>1.08</v>
      </c>
      <c r="X12" s="1" t="b">
        <v>1</v>
      </c>
      <c r="Y12" s="1">
        <v>3</v>
      </c>
      <c r="Z12" s="1">
        <v>1</v>
      </c>
    </row>
    <row r="13" spans="1:26" x14ac:dyDescent="0.25">
      <c r="A13" s="1">
        <v>1</v>
      </c>
      <c r="B13" s="1" t="s">
        <v>25</v>
      </c>
      <c r="C13" s="1" t="str">
        <f ca="1">IFERROR(__xludf.DUMMYFUNCTION("GOOGLETRANSLATE(B12, ""ne"", ""en"")"),"Koshi region")</f>
        <v>Koshi region</v>
      </c>
      <c r="D13" s="1">
        <v>6</v>
      </c>
      <c r="E13" s="1" t="s">
        <v>57</v>
      </c>
      <c r="F13" s="1" t="str">
        <f ca="1">IFERROR(__xludf.DUMMYFUNCTION("GOOGLETRANSLATE(E12,""ne"", ""en"")"),"Thirteenth")</f>
        <v>Thirteenth</v>
      </c>
      <c r="G13" s="1">
        <v>1</v>
      </c>
      <c r="H13" s="1">
        <v>12</v>
      </c>
      <c r="I13" s="1">
        <v>36795</v>
      </c>
      <c r="J13" s="1" t="s">
        <v>58</v>
      </c>
      <c r="K13" s="1" t="str">
        <f ca="1">IFERROR(__xludf.DUMMYFUNCTION("GOOGLETRANSLATE(J12, ""ne"", ""en"")"),"Santosh Subba")</f>
        <v>Santosh Subba</v>
      </c>
      <c r="L13" s="1" t="s">
        <v>31</v>
      </c>
      <c r="M13" s="1" t="str">
        <f ca="1">IFERROR(__xludf.DUMMYFUNCTION("GOOGLETRANSLATE(L12, ""ne"", ""en"")"),"Nepali Congress")</f>
        <v>Nepali Congress</v>
      </c>
      <c r="N13" s="1">
        <v>11561</v>
      </c>
      <c r="O13" s="1">
        <v>31.42</v>
      </c>
      <c r="P13" s="1" t="s">
        <v>59</v>
      </c>
      <c r="Q13" s="1" t="str">
        <f ca="1">IFERROR(__xludf.DUMMYFUNCTION("GOOGLETRANSLATE(P12,""ne"", ""en"")"),"Bhanu Bhakta Dhakal")</f>
        <v>Bhanu Bhakta Dhakal</v>
      </c>
      <c r="R13" s="1" t="s">
        <v>29</v>
      </c>
      <c r="S13" s="1" t="str">
        <f ca="1">IFERROR(__xludf.DUMMYFUNCTION("GOOGLETRANSLATE(R12, ""ne"", ""en"")"),"Communist Party of Nepal (Unified Marxist-Leninist)")</f>
        <v>Communist Party of Nepal (Unified Marxist-Leninist)</v>
      </c>
      <c r="T13" s="1">
        <v>10682</v>
      </c>
      <c r="U13" s="1">
        <v>29.03</v>
      </c>
      <c r="V13" s="1">
        <v>879</v>
      </c>
      <c r="W13" s="1">
        <v>2.39</v>
      </c>
      <c r="X13" s="1" t="b">
        <v>0</v>
      </c>
      <c r="Y13" s="1">
        <v>1</v>
      </c>
      <c r="Z13" s="1">
        <v>0</v>
      </c>
    </row>
    <row r="14" spans="1:26" x14ac:dyDescent="0.25">
      <c r="A14" s="1">
        <v>1</v>
      </c>
      <c r="B14" s="1" t="s">
        <v>25</v>
      </c>
      <c r="C14" s="1" t="str">
        <f ca="1">IFERROR(__xludf.DUMMYFUNCTION("GOOGLETRANSLATE(B13, ""ne"", ""en"")"),"Koshi region")</f>
        <v>Koshi region</v>
      </c>
      <c r="D14" s="1">
        <v>7</v>
      </c>
      <c r="E14" s="1" t="s">
        <v>60</v>
      </c>
      <c r="F14" s="1" t="str">
        <f ca="1">IFERROR(__xludf.DUMMYFUNCTION("GOOGLETRANSLATE(E13,""ne"", ""en"")"),"Bhojpur")</f>
        <v>Bhojpur</v>
      </c>
      <c r="G14" s="1">
        <v>1</v>
      </c>
      <c r="H14" s="1">
        <v>12</v>
      </c>
      <c r="I14" s="1">
        <v>53728</v>
      </c>
      <c r="J14" s="1" t="s">
        <v>61</v>
      </c>
      <c r="K14" s="1" t="str">
        <f ca="1">IFERROR(__xludf.DUMMYFUNCTION("GOOGLETRANSLATE(J13, ""ne"", ""en"")"),"Dhruvaraj Rai")</f>
        <v>Dhruvaraj Rai</v>
      </c>
      <c r="L14" s="1" t="s">
        <v>35</v>
      </c>
      <c r="M14" s="1" t="str">
        <f ca="1">IFERROR(__xludf.DUMMYFUNCTION("GOOGLETRANSLATE(L13, ""ne"", ""en"")"),"Labor Culture Party")</f>
        <v>Labor Culture Party</v>
      </c>
      <c r="N14" s="1">
        <v>16663</v>
      </c>
      <c r="O14" s="1">
        <v>31.01</v>
      </c>
      <c r="P14" s="1" t="s">
        <v>62</v>
      </c>
      <c r="Q14" s="1" t="str">
        <f ca="1">IFERROR(__xludf.DUMMYFUNCTION("GOOGLETRANSLATE(P13,""ne"", ""en"")"),"Sherdhan Rai")</f>
        <v>Sherdhan Rai</v>
      </c>
      <c r="R14" s="1" t="s">
        <v>29</v>
      </c>
      <c r="S14" s="1" t="str">
        <f ca="1">IFERROR(__xludf.DUMMYFUNCTION("GOOGLETRANSLATE(R13, ""ne"", ""en"")"),"Communist Party of Nepal (Unified Marxist-Leninist)")</f>
        <v>Communist Party of Nepal (Unified Marxist-Leninist)</v>
      </c>
      <c r="T14" s="1">
        <v>14750</v>
      </c>
      <c r="U14" s="1">
        <v>27.45</v>
      </c>
      <c r="V14" s="1">
        <v>1913</v>
      </c>
      <c r="W14" s="1">
        <v>3.56</v>
      </c>
      <c r="X14" s="1" t="b">
        <v>0</v>
      </c>
      <c r="Y14" s="1">
        <v>0</v>
      </c>
      <c r="Z14" s="1">
        <v>0</v>
      </c>
    </row>
    <row r="15" spans="1:26" x14ac:dyDescent="0.25">
      <c r="A15" s="1">
        <v>1</v>
      </c>
      <c r="B15" s="1" t="s">
        <v>25</v>
      </c>
      <c r="C15" s="1" t="str">
        <f ca="1">IFERROR(__xludf.DUMMYFUNCTION("GOOGLETRANSLATE(B14, ""ne"", ""en"")"),"Koshi region")</f>
        <v>Koshi region</v>
      </c>
      <c r="D15" s="1">
        <v>8</v>
      </c>
      <c r="E15" s="1" t="s">
        <v>63</v>
      </c>
      <c r="F15" s="1" t="str">
        <f ca="1">IFERROR(__xludf.DUMMYFUNCTION("GOOGLETRANSLATE(E14,""ne"", ""en"")"),"Dhankuta")</f>
        <v>Dhankuta</v>
      </c>
      <c r="G15" s="1">
        <v>1</v>
      </c>
      <c r="H15" s="1">
        <v>17</v>
      </c>
      <c r="I15" s="1">
        <v>59208</v>
      </c>
      <c r="J15" s="1" t="s">
        <v>64</v>
      </c>
      <c r="K15" s="1" t="str">
        <f ca="1">IFERROR(__xludf.DUMMYFUNCTION("GOOGLETRANSLATE(J14, ""ne"", ""en"")"),"Rajendra Kumar Rai")</f>
        <v>Rajendra Kumar Rai</v>
      </c>
      <c r="L15" s="1" t="s">
        <v>29</v>
      </c>
      <c r="M15" s="1" t="str">
        <f ca="1">IFERROR(__xludf.DUMMYFUNCTION("GOOGLETRANSLATE(L14, ""ne"", ""en"")"),"Communist Party of Nepal (Unified Marxist-Leninist)")</f>
        <v>Communist Party of Nepal (Unified Marxist-Leninist)</v>
      </c>
      <c r="N15" s="1">
        <v>18132</v>
      </c>
      <c r="O15" s="1">
        <v>30.62</v>
      </c>
      <c r="P15" s="1" t="s">
        <v>65</v>
      </c>
      <c r="Q15" s="1" t="str">
        <f ca="1">IFERROR(__xludf.DUMMYFUNCTION("GOOGLETRANSLATE(P14,""ne"", ""en"")"),"Dinesh Rai")</f>
        <v>Dinesh Rai</v>
      </c>
      <c r="R15" s="1" t="s">
        <v>31</v>
      </c>
      <c r="S15" s="1" t="str">
        <f ca="1">IFERROR(__xludf.DUMMYFUNCTION("GOOGLETRANSLATE(R14, ""ne"", ""en"")"),"Nepali Congress")</f>
        <v>Nepali Congress</v>
      </c>
      <c r="T15" s="1">
        <v>14257</v>
      </c>
      <c r="U15" s="1">
        <v>24.08</v>
      </c>
      <c r="V15" s="1">
        <v>3875</v>
      </c>
      <c r="W15" s="1">
        <v>6.54</v>
      </c>
      <c r="X15" s="1" t="b">
        <v>0</v>
      </c>
      <c r="Y15" s="1">
        <v>0</v>
      </c>
      <c r="Z15" s="1">
        <v>3</v>
      </c>
    </row>
    <row r="16" spans="1:26" x14ac:dyDescent="0.25">
      <c r="A16" s="1">
        <v>1</v>
      </c>
      <c r="B16" s="1" t="s">
        <v>25</v>
      </c>
      <c r="C16" s="1" t="str">
        <f ca="1">IFERROR(__xludf.DUMMYFUNCTION("GOOGLETRANSLATE(B15, ""ne"", ""en"")"),"Koshi region")</f>
        <v>Koshi region</v>
      </c>
      <c r="D16" s="1">
        <v>9</v>
      </c>
      <c r="E16" s="1" t="s">
        <v>66</v>
      </c>
      <c r="F16" s="1" t="str">
        <f ca="1">IFERROR(__xludf.DUMMYFUNCTION("GOOGLETRANSLATE(E15,""ne"", ""en"")"),"Morang")</f>
        <v>Morang</v>
      </c>
      <c r="G16" s="1">
        <v>1</v>
      </c>
      <c r="H16" s="1">
        <v>17</v>
      </c>
      <c r="I16" s="1">
        <v>71962</v>
      </c>
      <c r="J16" s="1" t="s">
        <v>67</v>
      </c>
      <c r="K16" s="1" t="str">
        <f ca="1">IFERROR(__xludf.DUMMYFUNCTION("GOOGLETRANSLATE(J15, ""ne"", ""en"")"),"Yajnamani Nyaipane")</f>
        <v>Yajnamani Nyaipane</v>
      </c>
      <c r="L16" s="1" t="s">
        <v>43</v>
      </c>
      <c r="M16" s="1" t="str">
        <f ca="1">IFERROR(__xludf.DUMMYFUNCTION("GOOGLETRANSLATE(L15, ""ne"", ""en"")"),"National Independence Party")</f>
        <v>National Independence Party</v>
      </c>
      <c r="N16" s="1">
        <v>27367</v>
      </c>
      <c r="O16" s="1">
        <v>38.03</v>
      </c>
      <c r="P16" s="1" t="s">
        <v>68</v>
      </c>
      <c r="Q16" s="1" t="str">
        <f ca="1">IFERROR(__xludf.DUMMYFUNCTION("GOOGLETRANSLATE(P15,""ne"", ""en"")"),"Shanti Pakhrin Lama")</f>
        <v>Shanti Pakhrin Lama</v>
      </c>
      <c r="R16" s="1" t="s">
        <v>35</v>
      </c>
      <c r="S16" s="1" t="str">
        <f ca="1">IFERROR(__xludf.DUMMYFUNCTION("GOOGLETRANSLATE(R15, ""ne"", ""en"")"),"Labor Culture Party")</f>
        <v>Labor Culture Party</v>
      </c>
      <c r="T16" s="1">
        <v>17522</v>
      </c>
      <c r="U16" s="1">
        <v>24.35</v>
      </c>
      <c r="V16" s="1">
        <v>9845</v>
      </c>
      <c r="W16" s="1">
        <v>13.68</v>
      </c>
      <c r="X16" s="1" t="b">
        <v>0</v>
      </c>
      <c r="Y16" s="1">
        <v>3</v>
      </c>
      <c r="Z16" s="1">
        <v>5</v>
      </c>
    </row>
    <row r="17" spans="1:26" x14ac:dyDescent="0.25">
      <c r="A17" s="1">
        <v>1</v>
      </c>
      <c r="B17" s="1" t="s">
        <v>25</v>
      </c>
      <c r="C17" s="1" t="str">
        <f ca="1">IFERROR(__xludf.DUMMYFUNCTION("GOOGLETRANSLATE(B16, ""ne"", ""en"")"),"Koshi region")</f>
        <v>Koshi region</v>
      </c>
      <c r="D17" s="1">
        <v>9</v>
      </c>
      <c r="E17" s="1" t="s">
        <v>66</v>
      </c>
      <c r="F17" s="1" t="str">
        <f ca="1">IFERROR(__xludf.DUMMYFUNCTION("GOOGLETRANSLATE(E16,""ne"", ""en"")"),"Morang")</f>
        <v>Morang</v>
      </c>
      <c r="G17" s="1">
        <v>2</v>
      </c>
      <c r="H17" s="1">
        <v>17</v>
      </c>
      <c r="I17" s="1">
        <v>74603</v>
      </c>
      <c r="J17" s="1" t="s">
        <v>69</v>
      </c>
      <c r="K17" s="1" t="str">
        <f ca="1">IFERROR(__xludf.DUMMYFUNCTION("GOOGLETRANSLATE(J16, ""ne"", ""en"")"),"Krishna Kumar Karki")</f>
        <v>Krishna Kumar Karki</v>
      </c>
      <c r="L17" s="1" t="s">
        <v>43</v>
      </c>
      <c r="M17" s="1" t="str">
        <f ca="1">IFERROR(__xludf.DUMMYFUNCTION("GOOGLETRANSLATE(L16, ""ne"", ""en"")"),"National Independence Party")</f>
        <v>National Independence Party</v>
      </c>
      <c r="N17" s="1">
        <v>40924</v>
      </c>
      <c r="O17" s="1">
        <v>54.86</v>
      </c>
      <c r="P17" s="1" t="s">
        <v>70</v>
      </c>
      <c r="Q17" s="1" t="str">
        <f ca="1">IFERROR(__xludf.DUMMYFUNCTION("GOOGLETRANSLATE(P16,""ne"", ""en"")"),"Dilip Kumar Aggarwal")</f>
        <v>Dilip Kumar Aggarwal</v>
      </c>
      <c r="R17" s="1" t="s">
        <v>29</v>
      </c>
      <c r="S17" s="1" t="str">
        <f ca="1">IFERROR(__xludf.DUMMYFUNCTION("GOOGLETRANSLATE(R16, ""ne"", ""en"")"),"Communist Party of Nepal (Unified Marxist-Leninist)")</f>
        <v>Communist Party of Nepal (Unified Marxist-Leninist)</v>
      </c>
      <c r="T17" s="1">
        <v>15624</v>
      </c>
      <c r="U17" s="1">
        <v>20.94</v>
      </c>
      <c r="V17" s="1">
        <v>25300</v>
      </c>
      <c r="W17" s="1">
        <v>33.909999999999997</v>
      </c>
      <c r="X17" s="1" t="b">
        <v>0</v>
      </c>
      <c r="Y17" s="1">
        <v>0</v>
      </c>
      <c r="Z17" s="1">
        <v>4</v>
      </c>
    </row>
    <row r="18" spans="1:26" x14ac:dyDescent="0.25">
      <c r="A18" s="1">
        <v>1</v>
      </c>
      <c r="B18" s="1" t="s">
        <v>25</v>
      </c>
      <c r="C18" s="1" t="str">
        <f ca="1">IFERROR(__xludf.DUMMYFUNCTION("GOOGLETRANSLATE(B17, ""ne"", ""en"")"),"Koshi region")</f>
        <v>Koshi region</v>
      </c>
      <c r="D18" s="1">
        <v>9</v>
      </c>
      <c r="E18" s="1" t="s">
        <v>66</v>
      </c>
      <c r="F18" s="1" t="str">
        <f ca="1">IFERROR(__xludf.DUMMYFUNCTION("GOOGLETRANSLATE(E17,""ne"", ""en"")"),"Morang")</f>
        <v>Morang</v>
      </c>
      <c r="G18" s="1">
        <v>3</v>
      </c>
      <c r="H18" s="1">
        <v>18</v>
      </c>
      <c r="I18" s="1">
        <v>89456</v>
      </c>
      <c r="J18" s="1" t="s">
        <v>71</v>
      </c>
      <c r="K18" s="1" t="str">
        <f ca="1">IFERROR(__xludf.DUMMYFUNCTION("GOOGLETRANSLATE(J17, ""ne"", ""en"")"),"Ganesh Karki")</f>
        <v>Ganesh Karki</v>
      </c>
      <c r="L18" s="1" t="s">
        <v>43</v>
      </c>
      <c r="M18" s="1" t="str">
        <f ca="1">IFERROR(__xludf.DUMMYFUNCTION("GOOGLETRANSLATE(L17, ""ne"", ""en"")"),"National Independence Party")</f>
        <v>National Independence Party</v>
      </c>
      <c r="N18" s="1">
        <v>36924</v>
      </c>
      <c r="O18" s="1">
        <v>41.28</v>
      </c>
      <c r="P18" s="1" t="s">
        <v>72</v>
      </c>
      <c r="Q18" s="1" t="str">
        <f ca="1">IFERROR(__xludf.DUMMYFUNCTION("GOOGLETRANSLATE(P17,""ne"", ""en"")"),"Sunil Kumar Sharma")</f>
        <v>Sunil Kumar Sharma</v>
      </c>
      <c r="R18" s="1" t="s">
        <v>31</v>
      </c>
      <c r="S18" s="1" t="str">
        <f ca="1">IFERROR(__xludf.DUMMYFUNCTION("GOOGLETRANSLATE(R17, ""ne"", ""en"")"),"Nepali Congress")</f>
        <v>Nepali Congress</v>
      </c>
      <c r="T18" s="1">
        <v>24354</v>
      </c>
      <c r="U18" s="1">
        <v>27.22</v>
      </c>
      <c r="V18" s="1">
        <v>12570</v>
      </c>
      <c r="W18" s="1">
        <v>14.05</v>
      </c>
      <c r="X18" s="1" t="b">
        <v>0</v>
      </c>
      <c r="Y18" s="1">
        <v>0</v>
      </c>
      <c r="Z18" s="1">
        <v>2</v>
      </c>
    </row>
    <row r="19" spans="1:26" x14ac:dyDescent="0.25">
      <c r="A19" s="1">
        <v>1</v>
      </c>
      <c r="B19" s="1" t="s">
        <v>25</v>
      </c>
      <c r="C19" s="1" t="str">
        <f ca="1">IFERROR(__xludf.DUMMYFUNCTION("GOOGLETRANSLATE(B18, ""ne"", ""en"")"),"Koshi region")</f>
        <v>Koshi region</v>
      </c>
      <c r="D19" s="1">
        <v>9</v>
      </c>
      <c r="E19" s="1" t="s">
        <v>66</v>
      </c>
      <c r="F19" s="1" t="str">
        <f ca="1">IFERROR(__xludf.DUMMYFUNCTION("GOOGLETRANSLATE(E18,""ne"", ""en"")"),"Morang")</f>
        <v>Morang</v>
      </c>
      <c r="G19" s="1">
        <v>4</v>
      </c>
      <c r="H19" s="1">
        <v>19</v>
      </c>
      <c r="I19" s="1">
        <v>74529</v>
      </c>
      <c r="J19" s="1" t="s">
        <v>73</v>
      </c>
      <c r="K19" s="1" t="str">
        <f ca="1">IFERROR(__xludf.DUMMYFUNCTION("GOOGLETRANSLATE(J18, ""ne"", ""en"")"),"Santosh Rajbanshi")</f>
        <v>Santosh Rajbanshi</v>
      </c>
      <c r="L19" s="1" t="s">
        <v>43</v>
      </c>
      <c r="M19" s="1" t="str">
        <f ca="1">IFERROR(__xludf.DUMMYFUNCTION("GOOGLETRANSLATE(L18, ""ne"", ""en"")"),"National Independence Party")</f>
        <v>National Independence Party</v>
      </c>
      <c r="N19" s="1">
        <v>40833</v>
      </c>
      <c r="O19" s="1">
        <v>54.79</v>
      </c>
      <c r="P19" s="1" t="s">
        <v>74</v>
      </c>
      <c r="Q19" s="1" t="str">
        <f ca="1">IFERROR(__xludf.DUMMYFUNCTION("GOOGLETRANSLATE(P18,""ne"", ""en"")"),"Guru Raj Ghimire")</f>
        <v>Guru Raj Ghimire</v>
      </c>
      <c r="R19" s="1" t="s">
        <v>31</v>
      </c>
      <c r="S19" s="1" t="str">
        <f ca="1">IFERROR(__xludf.DUMMYFUNCTION("GOOGLETRANSLATE(R18, ""ne"", ""en"")"),"Nepali Congress")</f>
        <v>Nepali Congress</v>
      </c>
      <c r="T19" s="1">
        <v>12818</v>
      </c>
      <c r="U19" s="1">
        <v>17.2</v>
      </c>
      <c r="V19" s="1">
        <v>28015</v>
      </c>
      <c r="W19" s="1">
        <v>37.590000000000003</v>
      </c>
      <c r="X19" s="1" t="b">
        <v>0</v>
      </c>
      <c r="Y19" s="1">
        <v>2</v>
      </c>
      <c r="Z19" s="1">
        <v>3</v>
      </c>
    </row>
    <row r="20" spans="1:26" x14ac:dyDescent="0.25">
      <c r="A20" s="1">
        <v>1</v>
      </c>
      <c r="B20" s="1" t="s">
        <v>25</v>
      </c>
      <c r="C20" s="1" t="str">
        <f ca="1">IFERROR(__xludf.DUMMYFUNCTION("GOOGLETRANSLATE(B19, ""ne"", ""en"")"),"Koshi region")</f>
        <v>Koshi region</v>
      </c>
      <c r="D20" s="1">
        <v>9</v>
      </c>
      <c r="E20" s="1" t="s">
        <v>66</v>
      </c>
      <c r="F20" s="1" t="str">
        <f ca="1">IFERROR(__xludf.DUMMYFUNCTION("GOOGLETRANSLATE(E19,""ne"", ""en"")"),"Morang")</f>
        <v>Morang</v>
      </c>
      <c r="G20" s="1">
        <v>5</v>
      </c>
      <c r="H20" s="1">
        <v>22</v>
      </c>
      <c r="I20" s="1">
        <v>70560</v>
      </c>
      <c r="J20" s="1" t="s">
        <v>75</v>
      </c>
      <c r="K20" s="1" t="str">
        <f ca="1">IFERROR(__xludf.DUMMYFUNCTION("GOOGLETRANSLATE(J19, ""ne"", ""en"")"),"Asha Jha")</f>
        <v>Asha Jha</v>
      </c>
      <c r="L20" s="1" t="s">
        <v>43</v>
      </c>
      <c r="M20" s="1" t="str">
        <f ca="1">IFERROR(__xludf.DUMMYFUNCTION("GOOGLETRANSLATE(L19, ""ne"", ""en"")"),"National Independence Party")</f>
        <v>National Independence Party</v>
      </c>
      <c r="N20" s="1">
        <v>30434</v>
      </c>
      <c r="O20" s="1">
        <v>43.13</v>
      </c>
      <c r="P20" s="1" t="s">
        <v>76</v>
      </c>
      <c r="Q20" s="1" t="str">
        <f ca="1">IFERROR(__xludf.DUMMYFUNCTION("GOOGLETRANSLATE(P19,""ne"", ""en"")"),"Full Kumar Lalwani")</f>
        <v>Full Kumar Lalwani</v>
      </c>
      <c r="R20" s="1" t="s">
        <v>31</v>
      </c>
      <c r="S20" s="1" t="str">
        <f ca="1">IFERROR(__xludf.DUMMYFUNCTION("GOOGLETRANSLATE(R19, ""ne"", ""en"")"),"Nepali Congress")</f>
        <v>Nepali Congress</v>
      </c>
      <c r="T20" s="1">
        <v>9415</v>
      </c>
      <c r="U20" s="1">
        <v>13.34</v>
      </c>
      <c r="V20" s="1">
        <v>21019</v>
      </c>
      <c r="W20" s="1">
        <v>29.79</v>
      </c>
      <c r="X20" s="1" t="b">
        <v>0</v>
      </c>
      <c r="Y20" s="1">
        <v>4</v>
      </c>
      <c r="Z20" s="1">
        <v>8</v>
      </c>
    </row>
    <row r="21" spans="1:26" x14ac:dyDescent="0.25">
      <c r="A21" s="1">
        <v>1</v>
      </c>
      <c r="B21" s="1" t="s">
        <v>25</v>
      </c>
      <c r="C21" s="1" t="str">
        <f ca="1">IFERROR(__xludf.DUMMYFUNCTION("GOOGLETRANSLATE(B20, ""ne"", ""en"")"),"Koshi region")</f>
        <v>Koshi region</v>
      </c>
      <c r="D21" s="1">
        <v>9</v>
      </c>
      <c r="E21" s="1" t="s">
        <v>66</v>
      </c>
      <c r="F21" s="1" t="str">
        <f ca="1">IFERROR(__xludf.DUMMYFUNCTION("GOOGLETRANSLATE(E20,""ne"", ""en"")"),"Morang")</f>
        <v>Morang</v>
      </c>
      <c r="G21" s="1">
        <v>6</v>
      </c>
      <c r="H21" s="1">
        <v>17</v>
      </c>
      <c r="I21" s="1">
        <v>85455</v>
      </c>
      <c r="J21" s="1" t="s">
        <v>77</v>
      </c>
      <c r="K21" s="1" t="str">
        <f ca="1">IFERROR(__xludf.DUMMYFUNCTION("GOOGLETRANSLATE(J20, ""ne"", ""en"")"),"Rubina Acharya")</f>
        <v>Rubina Acharya</v>
      </c>
      <c r="L21" s="1" t="s">
        <v>43</v>
      </c>
      <c r="M21" s="1" t="str">
        <f ca="1">IFERROR(__xludf.DUMMYFUNCTION("GOOGLETRANSLATE(L20, ""ne"", ""en"")"),"National Independence Party")</f>
        <v>National Independence Party</v>
      </c>
      <c r="N21" s="1">
        <v>55513</v>
      </c>
      <c r="O21" s="1">
        <v>64.959999999999994</v>
      </c>
      <c r="P21" s="1" t="s">
        <v>78</v>
      </c>
      <c r="Q21" s="1" t="str">
        <f ca="1">IFERROR(__xludf.DUMMYFUNCTION("GOOGLETRANSLATE(P20,""ne"", ""en"")"),"Dr. Shekhar Koirala")</f>
        <v>Dr. Shekhar Koirala</v>
      </c>
      <c r="R21" s="1" t="s">
        <v>31</v>
      </c>
      <c r="S21" s="1" t="str">
        <f ca="1">IFERROR(__xludf.DUMMYFUNCTION("GOOGLETRANSLATE(R20, ""ne"", ""en"")"),"Nepali Congress")</f>
        <v>Nepali Congress</v>
      </c>
      <c r="T21" s="1">
        <v>12850</v>
      </c>
      <c r="U21" s="1">
        <v>15.04</v>
      </c>
      <c r="V21" s="1">
        <v>42663</v>
      </c>
      <c r="W21" s="1">
        <v>49.92</v>
      </c>
      <c r="X21" s="1" t="b">
        <v>0</v>
      </c>
      <c r="Y21" s="1">
        <v>3</v>
      </c>
      <c r="Z21" s="1">
        <v>3</v>
      </c>
    </row>
    <row r="22" spans="1:26" x14ac:dyDescent="0.25">
      <c r="A22" s="1">
        <v>1</v>
      </c>
      <c r="B22" s="1" t="s">
        <v>25</v>
      </c>
      <c r="C22" s="1" t="str">
        <f ca="1">IFERROR(__xludf.DUMMYFUNCTION("GOOGLETRANSLATE(B21, ""ne"", ""en"")"),"Koshi region")</f>
        <v>Koshi region</v>
      </c>
      <c r="D22" s="1">
        <v>10</v>
      </c>
      <c r="E22" s="1" t="s">
        <v>79</v>
      </c>
      <c r="F22" s="1" t="str">
        <f ca="1">IFERROR(__xludf.DUMMYFUNCTION("GOOGLETRANSLATE(E21,""ne"", ""en"")"),"Sunsari")</f>
        <v>Sunsari</v>
      </c>
      <c r="G22" s="1">
        <v>1</v>
      </c>
      <c r="H22" s="1">
        <v>26</v>
      </c>
      <c r="I22" s="1">
        <v>82982</v>
      </c>
      <c r="J22" s="1" t="s">
        <v>80</v>
      </c>
      <c r="K22" s="1" t="str">
        <f ca="1">IFERROR(__xludf.DUMMYFUNCTION("GOOGLETRANSLATE(J21, ""ne"", ""en"")"),"Hark Raj Rai")</f>
        <v>Hark Raj Rai</v>
      </c>
      <c r="L22" s="1" t="s">
        <v>35</v>
      </c>
      <c r="M22" s="1" t="str">
        <f ca="1">IFERROR(__xludf.DUMMYFUNCTION("GOOGLETRANSLATE(L21, ""ne"", ""en"")"),"Labor Culture Party")</f>
        <v>Labor Culture Party</v>
      </c>
      <c r="N22" s="1">
        <v>35741</v>
      </c>
      <c r="O22" s="1">
        <v>43.07</v>
      </c>
      <c r="P22" s="1" t="s">
        <v>81</v>
      </c>
      <c r="Q22" s="1" t="str">
        <f ca="1">IFERROR(__xludf.DUMMYFUNCTION("GOOGLETRANSLATE(P21,""ne"", ""en"")"),"Goma Tamang")</f>
        <v>Goma Tamang</v>
      </c>
      <c r="R22" s="1" t="s">
        <v>43</v>
      </c>
      <c r="S22" s="1" t="str">
        <f ca="1">IFERROR(__xludf.DUMMYFUNCTION("GOOGLETRANSLATE(R21, ""ne"", ""en"")"),"National Independence Party")</f>
        <v>National Independence Party</v>
      </c>
      <c r="T22" s="1">
        <v>27249</v>
      </c>
      <c r="U22" s="1">
        <v>32.840000000000003</v>
      </c>
      <c r="V22" s="1">
        <v>8492</v>
      </c>
      <c r="W22" s="1">
        <v>10.23</v>
      </c>
      <c r="X22" s="1" t="b">
        <v>0</v>
      </c>
      <c r="Y22" s="1">
        <v>2</v>
      </c>
      <c r="Z22" s="1">
        <v>7</v>
      </c>
    </row>
    <row r="23" spans="1:26" x14ac:dyDescent="0.25">
      <c r="A23" s="1">
        <v>1</v>
      </c>
      <c r="B23" s="1" t="s">
        <v>25</v>
      </c>
      <c r="C23" s="1" t="str">
        <f ca="1">IFERROR(__xludf.DUMMYFUNCTION("GOOGLETRANSLATE(B22, ""ne"", ""en"")"),"Koshi region")</f>
        <v>Koshi region</v>
      </c>
      <c r="D23" s="1">
        <v>10</v>
      </c>
      <c r="E23" s="1" t="s">
        <v>79</v>
      </c>
      <c r="F23" s="1" t="str">
        <f ca="1">IFERROR(__xludf.DUMMYFUNCTION("GOOGLETRANSLATE(E22,""ne"", ""en"")"),"Sunsari")</f>
        <v>Sunsari</v>
      </c>
      <c r="G23" s="1">
        <v>2</v>
      </c>
      <c r="H23" s="1">
        <v>28</v>
      </c>
      <c r="I23" s="1">
        <v>95441</v>
      </c>
      <c r="J23" s="1" t="s">
        <v>82</v>
      </c>
      <c r="K23" s="1" t="str">
        <f ca="1">IFERROR(__xludf.DUMMYFUNCTION("GOOGLETRANSLATE(J22, ""ne"", ""en"")"),"Lal Bikram Thapa")</f>
        <v>Lal Bikram Thapa</v>
      </c>
      <c r="L23" s="1" t="s">
        <v>43</v>
      </c>
      <c r="M23" s="1" t="str">
        <f ca="1">IFERROR(__xludf.DUMMYFUNCTION("GOOGLETRANSLATE(L22, ""ne"", ""en"")"),"National Independence Party")</f>
        <v>National Independence Party</v>
      </c>
      <c r="N23" s="1">
        <v>57348</v>
      </c>
      <c r="O23" s="1">
        <v>60.09</v>
      </c>
      <c r="P23" s="1" t="s">
        <v>83</v>
      </c>
      <c r="Q23" s="1" t="str">
        <f ca="1">IFERROR(__xludf.DUMMYFUNCTION("GOOGLETRANSLATE(P22,""ne"", ""en"")"),"Rajeev Koirala")</f>
        <v>Rajeev Koirala</v>
      </c>
      <c r="R23" s="1" t="s">
        <v>31</v>
      </c>
      <c r="S23" s="1" t="str">
        <f ca="1">IFERROR(__xludf.DUMMYFUNCTION("GOOGLETRANSLATE(R22, ""ne"", ""en"")"),"Nepali Congress")</f>
        <v>Nepali Congress</v>
      </c>
      <c r="T23" s="1">
        <v>16071</v>
      </c>
      <c r="U23" s="1">
        <v>16.84</v>
      </c>
      <c r="V23" s="1">
        <v>41277</v>
      </c>
      <c r="W23" s="1">
        <v>43.25</v>
      </c>
      <c r="X23" s="1" t="b">
        <v>0</v>
      </c>
      <c r="Y23" s="1">
        <v>8</v>
      </c>
      <c r="Z23" s="1">
        <v>9</v>
      </c>
    </row>
    <row r="24" spans="1:26" x14ac:dyDescent="0.25">
      <c r="A24" s="1">
        <v>1</v>
      </c>
      <c r="B24" s="1" t="s">
        <v>25</v>
      </c>
      <c r="C24" s="1" t="str">
        <f ca="1">IFERROR(__xludf.DUMMYFUNCTION("GOOGLETRANSLATE(B23, ""ne"", ""en"")"),"Koshi region")</f>
        <v>Koshi region</v>
      </c>
      <c r="D24" s="1">
        <v>10</v>
      </c>
      <c r="E24" s="1" t="s">
        <v>79</v>
      </c>
      <c r="F24" s="1" t="str">
        <f ca="1">IFERROR(__xludf.DUMMYFUNCTION("GOOGLETRANSLATE(E23,""ne"", ""en"")"),"Sunsari")</f>
        <v>Sunsari</v>
      </c>
      <c r="G24" s="1">
        <v>3</v>
      </c>
      <c r="H24" s="1">
        <v>23</v>
      </c>
      <c r="I24" s="1">
        <v>89389</v>
      </c>
      <c r="J24" s="1" t="s">
        <v>84</v>
      </c>
      <c r="K24" s="1" t="str">
        <f ca="1">IFERROR(__xludf.DUMMYFUNCTION("GOOGLETRANSLATE(J23, ""ne"", ""en"")"),"Ashok Kumar Chaudhary")</f>
        <v>Ashok Kumar Chaudhary</v>
      </c>
      <c r="L24" s="1" t="s">
        <v>43</v>
      </c>
      <c r="M24" s="1" t="str">
        <f ca="1">IFERROR(__xludf.DUMMYFUNCTION("GOOGLETRANSLATE(L23, ""ne"", ""en"")"),"National Independence Party")</f>
        <v>National Independence Party</v>
      </c>
      <c r="N24" s="1">
        <v>47421</v>
      </c>
      <c r="O24" s="1">
        <v>53.05</v>
      </c>
      <c r="P24" s="1" t="s">
        <v>85</v>
      </c>
      <c r="Q24" s="1" t="str">
        <f ca="1">IFERROR(__xludf.DUMMYFUNCTION("GOOGLETRANSLATE(P23,""ne"", ""en"")"),"Vijay Kumar Gachchhdar")</f>
        <v>Vijay Kumar Gachchhdar</v>
      </c>
      <c r="R24" s="1" t="s">
        <v>31</v>
      </c>
      <c r="S24" s="1" t="str">
        <f ca="1">IFERROR(__xludf.DUMMYFUNCTION("GOOGLETRANSLATE(R23, ""ne"", ""en"")"),"Nepali Congress")</f>
        <v>Nepali Congress</v>
      </c>
      <c r="T24" s="1">
        <v>20501</v>
      </c>
      <c r="U24" s="1">
        <v>22.93</v>
      </c>
      <c r="V24" s="1">
        <v>26920</v>
      </c>
      <c r="W24" s="1">
        <v>30.12</v>
      </c>
      <c r="X24" s="1" t="b">
        <v>0</v>
      </c>
      <c r="Y24" s="1">
        <v>5</v>
      </c>
      <c r="Z24" s="1">
        <v>6</v>
      </c>
    </row>
    <row r="25" spans="1:26" x14ac:dyDescent="0.25">
      <c r="A25" s="1">
        <v>1</v>
      </c>
      <c r="B25" s="1" t="s">
        <v>25</v>
      </c>
      <c r="C25" s="1" t="str">
        <f ca="1">IFERROR(__xludf.DUMMYFUNCTION("GOOGLETRANSLATE(B24, ""ne"", ""en"")"),"Koshi region")</f>
        <v>Koshi region</v>
      </c>
      <c r="D25" s="1">
        <v>10</v>
      </c>
      <c r="E25" s="1" t="s">
        <v>79</v>
      </c>
      <c r="F25" s="1" t="str">
        <f ca="1">IFERROR(__xludf.DUMMYFUNCTION("GOOGLETRANSLATE(E24,""ne"", ""en"")"),"Sunsari")</f>
        <v>Sunsari</v>
      </c>
      <c r="G25" s="1">
        <v>4</v>
      </c>
      <c r="H25" s="1">
        <v>33</v>
      </c>
      <c r="I25" s="1">
        <v>78463</v>
      </c>
      <c r="J25" s="1" t="s">
        <v>86</v>
      </c>
      <c r="K25" s="1" t="str">
        <f ca="1">IFERROR(__xludf.DUMMYFUNCTION("GOOGLETRANSLATE(J24, ""ne"", ""en"")"),"Deepak Kumar Sah")</f>
        <v>Deepak Kumar Sah</v>
      </c>
      <c r="L25" s="1" t="s">
        <v>43</v>
      </c>
      <c r="M25" s="1" t="str">
        <f ca="1">IFERROR(__xludf.DUMMYFUNCTION("GOOGLETRANSLATE(L24, ""ne"", ""en"")"),"National Independence Party")</f>
        <v>National Independence Party</v>
      </c>
      <c r="N25" s="1">
        <v>42771</v>
      </c>
      <c r="O25" s="1">
        <v>54.51</v>
      </c>
      <c r="P25" s="1" t="s">
        <v>87</v>
      </c>
      <c r="Q25" s="1" t="str">
        <f ca="1">IFERROR(__xludf.DUMMYFUNCTION("GOOGLETRANSLATE(P24,""ne"", ""en"")"),"Gyanendra Bahadur Karki")</f>
        <v>Gyanendra Bahadur Karki</v>
      </c>
      <c r="R25" s="1" t="s">
        <v>31</v>
      </c>
      <c r="S25" s="1" t="str">
        <f ca="1">IFERROR(__xludf.DUMMYFUNCTION("GOOGLETRANSLATE(R24, ""ne"", ""en"")"),"Nepali Congress")</f>
        <v>Nepali Congress</v>
      </c>
      <c r="T25" s="1">
        <v>16587</v>
      </c>
      <c r="U25" s="1">
        <v>21.14</v>
      </c>
      <c r="V25" s="1">
        <v>26184</v>
      </c>
      <c r="W25" s="1">
        <v>33.369999999999997</v>
      </c>
      <c r="X25" s="1" t="b">
        <v>0</v>
      </c>
      <c r="Y25" s="1">
        <v>5</v>
      </c>
      <c r="Z25" s="1">
        <v>16</v>
      </c>
    </row>
    <row r="26" spans="1:26" x14ac:dyDescent="0.25">
      <c r="A26" s="1">
        <v>1</v>
      </c>
      <c r="B26" s="1" t="s">
        <v>25</v>
      </c>
      <c r="C26" s="1" t="str">
        <f ca="1">IFERROR(__xludf.DUMMYFUNCTION("GOOGLETRANSLATE(B25, ""ne"", ""en"")"),"Koshi region")</f>
        <v>Koshi region</v>
      </c>
      <c r="D26" s="1">
        <v>11</v>
      </c>
      <c r="E26" s="1" t="s">
        <v>88</v>
      </c>
      <c r="F26" s="1" t="str">
        <f ca="1">IFERROR(__xludf.DUMMYFUNCTION("GOOGLETRANSLATE(E25,""ne"", ""en"")"),"Solukhumbu")</f>
        <v>Solukhumbu</v>
      </c>
      <c r="G26" s="1">
        <v>1</v>
      </c>
      <c r="H26" s="1">
        <v>12</v>
      </c>
      <c r="I26" s="1">
        <v>38566</v>
      </c>
      <c r="J26" s="1" t="s">
        <v>89</v>
      </c>
      <c r="K26" s="1" t="str">
        <f ca="1">IFERROR(__xludf.DUMMYFUNCTION("GOOGLETRANSLATE(J25, ""ne"", ""en"")"),"Prakash Singh Karki")</f>
        <v>Prakash Singh Karki</v>
      </c>
      <c r="L26" s="1" t="s">
        <v>31</v>
      </c>
      <c r="M26" s="1" t="str">
        <f ca="1">IFERROR(__xludf.DUMMYFUNCTION("GOOGLETRANSLATE(L25, ""ne"", ""en"")"),"Nepali Congress")</f>
        <v>Nepali Congress</v>
      </c>
      <c r="N26" s="1">
        <v>13166</v>
      </c>
      <c r="O26" s="1">
        <v>34.14</v>
      </c>
      <c r="P26" s="1" t="s">
        <v>90</v>
      </c>
      <c r="Q26" s="1" t="str">
        <f ca="1">IFERROR(__xludf.DUMMYFUNCTION("GOOGLETRANSLATE(P25,""ne"", ""en"")"),"Ashim Rai")</f>
        <v>Ashim Rai</v>
      </c>
      <c r="R26" s="1" t="s">
        <v>91</v>
      </c>
      <c r="S26" s="1" t="str">
        <f ca="1">IFERROR(__xludf.DUMMYFUNCTION("GOOGLETRANSLATE(R25, ""ne"", ""en"")"),"Nepali Communist Party")</f>
        <v>Nepali Communist Party</v>
      </c>
      <c r="T26" s="1">
        <v>9414</v>
      </c>
      <c r="U26" s="1">
        <v>24.41</v>
      </c>
      <c r="V26" s="1">
        <v>3752</v>
      </c>
      <c r="W26" s="1">
        <v>9.73</v>
      </c>
      <c r="X26" s="1" t="b">
        <v>0</v>
      </c>
      <c r="Y26" s="1">
        <v>1</v>
      </c>
      <c r="Z26" s="1">
        <v>0</v>
      </c>
    </row>
    <row r="27" spans="1:26" x14ac:dyDescent="0.25">
      <c r="A27" s="1">
        <v>1</v>
      </c>
      <c r="B27" s="1" t="s">
        <v>25</v>
      </c>
      <c r="C27" s="1" t="str">
        <f ca="1">IFERROR(__xludf.DUMMYFUNCTION("GOOGLETRANSLATE(B26, ""ne"", ""en"")"),"Koshi region")</f>
        <v>Koshi region</v>
      </c>
      <c r="D27" s="1">
        <v>12</v>
      </c>
      <c r="E27" s="1" t="s">
        <v>92</v>
      </c>
      <c r="F27" s="1" t="str">
        <f ca="1">IFERROR(__xludf.DUMMYFUNCTION("GOOGLETRANSLATE(E26,""ne"", ""en"")"),"Khotang")</f>
        <v>Khotang</v>
      </c>
      <c r="G27" s="1">
        <v>1</v>
      </c>
      <c r="H27" s="1">
        <v>15</v>
      </c>
      <c r="I27" s="1">
        <v>58638</v>
      </c>
      <c r="J27" s="1" t="s">
        <v>93</v>
      </c>
      <c r="K27" s="1" t="str">
        <f ca="1">IFERROR(__xludf.DUMMYFUNCTION("GOOGLETRANSLATE(J26, ""ne"", ""en"")"),"Aren Rai")</f>
        <v>Aren Rai</v>
      </c>
      <c r="L27" s="1" t="s">
        <v>35</v>
      </c>
      <c r="M27" s="1" t="str">
        <f ca="1">IFERROR(__xludf.DUMMYFUNCTION("GOOGLETRANSLATE(L26, ""ne"", ""en"")"),"Labor Culture Party")</f>
        <v>Labor Culture Party</v>
      </c>
      <c r="N27" s="1">
        <v>16612</v>
      </c>
      <c r="O27" s="1">
        <v>28.33</v>
      </c>
      <c r="P27" s="1" t="s">
        <v>94</v>
      </c>
      <c r="Q27" s="1" t="str">
        <f ca="1">IFERROR(__xludf.DUMMYFUNCTION("GOOGLETRANSLATE(P26,""ne"", ""en"")"),"Dev Vikram Rai")</f>
        <v>Dev Vikram Rai</v>
      </c>
      <c r="R27" s="1" t="s">
        <v>29</v>
      </c>
      <c r="S27" s="1" t="str">
        <f ca="1">IFERROR(__xludf.DUMMYFUNCTION("GOOGLETRANSLATE(R26, ""ne"", ""en"")"),"Communist Party of Nepal (Unified Marxist-Leninist)")</f>
        <v>Communist Party of Nepal (Unified Marxist-Leninist)</v>
      </c>
      <c r="T27" s="1">
        <v>12714</v>
      </c>
      <c r="U27" s="1">
        <v>21.68</v>
      </c>
      <c r="V27" s="1">
        <v>3898</v>
      </c>
      <c r="W27" s="1">
        <v>6.65</v>
      </c>
      <c r="X27" s="1" t="b">
        <v>0</v>
      </c>
      <c r="Y27" s="1">
        <v>0</v>
      </c>
      <c r="Z27" s="1">
        <v>2</v>
      </c>
    </row>
    <row r="28" spans="1:26" x14ac:dyDescent="0.25">
      <c r="A28" s="1">
        <v>1</v>
      </c>
      <c r="B28" s="1" t="s">
        <v>25</v>
      </c>
      <c r="C28" s="1" t="str">
        <f ca="1">IFERROR(__xludf.DUMMYFUNCTION("GOOGLETRANSLATE(B27, ""ne"", ""en"")"),"Koshi region")</f>
        <v>Koshi region</v>
      </c>
      <c r="D28" s="1">
        <v>13</v>
      </c>
      <c r="E28" s="1" t="s">
        <v>95</v>
      </c>
      <c r="F28" s="1" t="str">
        <f ca="1">IFERROR(__xludf.DUMMYFUNCTION("GOOGLETRANSLATE(E27,""ne"", ""en"")"),"Okhaldhunga")</f>
        <v>Okhaldhunga</v>
      </c>
      <c r="G28" s="1">
        <v>1</v>
      </c>
      <c r="H28" s="1">
        <v>15</v>
      </c>
      <c r="I28" s="1">
        <v>55535</v>
      </c>
      <c r="J28" s="1" t="s">
        <v>96</v>
      </c>
      <c r="K28" s="1" t="str">
        <f ca="1">IFERROR(__xludf.DUMMYFUNCTION("GOOGLETRANSLATE(J27, ""ne"", ""en"")"),"Bishwa Raj Pokharel")</f>
        <v>Bishwa Raj Pokharel</v>
      </c>
      <c r="L28" s="1" t="s">
        <v>43</v>
      </c>
      <c r="M28" s="1" t="str">
        <f ca="1">IFERROR(__xludf.DUMMYFUNCTION("GOOGLETRANSLATE(L27, ""ne"", ""en"")"),"National Independence Party")</f>
        <v>National Independence Party</v>
      </c>
      <c r="N28" s="1">
        <v>13953</v>
      </c>
      <c r="O28" s="1">
        <v>25.12</v>
      </c>
      <c r="P28" s="1" t="s">
        <v>97</v>
      </c>
      <c r="Q28" s="1" t="str">
        <f ca="1">IFERROR(__xludf.DUMMYFUNCTION("GOOGLETRANSLATE(P27,""ne"", ""en"")"),"Kumar Luitel")</f>
        <v>Kumar Luitel</v>
      </c>
      <c r="R28" s="1" t="s">
        <v>31</v>
      </c>
      <c r="S28" s="1" t="str">
        <f ca="1">IFERROR(__xludf.DUMMYFUNCTION("GOOGLETRANSLATE(R27, ""ne"", ""en"")"),"Nepali Congress")</f>
        <v>Nepali Congress</v>
      </c>
      <c r="T28" s="1">
        <v>13948</v>
      </c>
      <c r="U28" s="1">
        <v>25.12</v>
      </c>
      <c r="V28" s="1">
        <v>5</v>
      </c>
      <c r="W28" s="1">
        <v>0.01</v>
      </c>
      <c r="X28" s="1" t="b">
        <v>1</v>
      </c>
      <c r="Y28" s="1">
        <v>3</v>
      </c>
      <c r="Z28" s="1">
        <v>2</v>
      </c>
    </row>
    <row r="29" spans="1:26" x14ac:dyDescent="0.25">
      <c r="A29" s="1">
        <v>1</v>
      </c>
      <c r="B29" s="1" t="s">
        <v>25</v>
      </c>
      <c r="C29" s="1" t="str">
        <f ca="1">IFERROR(__xludf.DUMMYFUNCTION("GOOGLETRANSLATE(B28, ""ne"", ""en"")"),"Koshi region")</f>
        <v>Koshi region</v>
      </c>
      <c r="D29" s="1">
        <v>14</v>
      </c>
      <c r="E29" s="1" t="s">
        <v>98</v>
      </c>
      <c r="F29" s="1" t="str">
        <f ca="1">IFERROR(__xludf.DUMMYFUNCTION("GOOGLETRANSLATE(E28,""ne"", ""en"")"),"Udaipur")</f>
        <v>Udaipur</v>
      </c>
      <c r="G29" s="1">
        <v>1</v>
      </c>
      <c r="H29" s="1">
        <v>18</v>
      </c>
      <c r="I29" s="1">
        <v>73916</v>
      </c>
      <c r="J29" s="1" t="s">
        <v>99</v>
      </c>
      <c r="K29" s="1" t="str">
        <f ca="1">IFERROR(__xludf.DUMMYFUNCTION("GOOGLETRANSLATE(J28, ""ne"", ""en"")"),"Parash Mani Gelal")</f>
        <v>Parash Mani Gelal</v>
      </c>
      <c r="L29" s="1" t="s">
        <v>43</v>
      </c>
      <c r="M29" s="1" t="str">
        <f ca="1">IFERROR(__xludf.DUMMYFUNCTION("GOOGLETRANSLATE(L28, ""ne"", ""en"")"),"National Independence Party")</f>
        <v>National Independence Party</v>
      </c>
      <c r="N29" s="1">
        <v>30590</v>
      </c>
      <c r="O29" s="1">
        <v>41.38</v>
      </c>
      <c r="P29" s="1" t="s">
        <v>100</v>
      </c>
      <c r="Q29" s="1" t="str">
        <f ca="1">IFERROR(__xludf.DUMMYFUNCTION("GOOGLETRANSLATE(P28,""ne"", ""en"")"),"Rajesh Kumar Rai")</f>
        <v>Rajesh Kumar Rai</v>
      </c>
      <c r="R29" s="1" t="s">
        <v>35</v>
      </c>
      <c r="S29" s="1" t="str">
        <f ca="1">IFERROR(__xludf.DUMMYFUNCTION("GOOGLETRANSLATE(R28, ""ne"", ""en"")"),"Labor Culture Party")</f>
        <v>Labor Culture Party</v>
      </c>
      <c r="T29" s="1">
        <v>11606</v>
      </c>
      <c r="U29" s="1">
        <v>15.7</v>
      </c>
      <c r="V29" s="1">
        <v>18984</v>
      </c>
      <c r="W29" s="1">
        <v>25.68</v>
      </c>
      <c r="X29" s="1" t="b">
        <v>0</v>
      </c>
      <c r="Y29" s="1">
        <v>0</v>
      </c>
      <c r="Z29" s="1">
        <v>1</v>
      </c>
    </row>
    <row r="30" spans="1:26" x14ac:dyDescent="0.25">
      <c r="A30" s="1">
        <v>1</v>
      </c>
      <c r="B30" s="1" t="s">
        <v>25</v>
      </c>
      <c r="C30" s="1" t="str">
        <f ca="1">IFERROR(__xludf.DUMMYFUNCTION("GOOGLETRANSLATE(B29, ""ne"", ""en"")"),"Koshi region")</f>
        <v>Koshi region</v>
      </c>
      <c r="D30" s="1">
        <v>14</v>
      </c>
      <c r="E30" s="1" t="s">
        <v>98</v>
      </c>
      <c r="F30" s="1" t="str">
        <f ca="1">IFERROR(__xludf.DUMMYFUNCTION("GOOGLETRANSLATE(E29,""ne"", ""en"")"),"Udaipur")</f>
        <v>Udaipur</v>
      </c>
      <c r="G30" s="1">
        <v>2</v>
      </c>
      <c r="H30" s="1">
        <v>13</v>
      </c>
      <c r="I30" s="1">
        <v>40756</v>
      </c>
      <c r="J30" s="1" t="s">
        <v>101</v>
      </c>
      <c r="K30" s="1" t="str">
        <f ca="1">IFERROR(__xludf.DUMMYFUNCTION("GOOGLETRANSLATE(J29, ""ne"", ""en"")"),"Surya Bahadur Tamang")</f>
        <v>Surya Bahadur Tamang</v>
      </c>
      <c r="L30" s="1" t="s">
        <v>43</v>
      </c>
      <c r="M30" s="1" t="str">
        <f ca="1">IFERROR(__xludf.DUMMYFUNCTION("GOOGLETRANSLATE(L29, ""ne"", ""en"")"),"National Independence Party")</f>
        <v>National Independence Party</v>
      </c>
      <c r="N30" s="1">
        <v>14802</v>
      </c>
      <c r="O30" s="1">
        <v>36.32</v>
      </c>
      <c r="P30" s="1" t="s">
        <v>102</v>
      </c>
      <c r="Q30" s="1" t="str">
        <f ca="1">IFERROR(__xludf.DUMMYFUNCTION("GOOGLETRANSLATE(P29,""ne"", ""en"")"),"Amwar Bahadur Rayamazhi")</f>
        <v>Amwar Bahadur Rayamazhi</v>
      </c>
      <c r="R30" s="1" t="s">
        <v>29</v>
      </c>
      <c r="S30" s="1" t="str">
        <f ca="1">IFERROR(__xludf.DUMMYFUNCTION("GOOGLETRANSLATE(R29, ""ne"", ""en"")"),"Communist Party of Nepal (Unified Marxist-Leninist)")</f>
        <v>Communist Party of Nepal (Unified Marxist-Leninist)</v>
      </c>
      <c r="T30" s="1">
        <v>7648</v>
      </c>
      <c r="U30" s="1">
        <v>18.77</v>
      </c>
      <c r="V30" s="1">
        <v>7154</v>
      </c>
      <c r="W30" s="1">
        <v>17.55</v>
      </c>
      <c r="X30" s="1" t="b">
        <v>0</v>
      </c>
      <c r="Y30" s="1">
        <v>0</v>
      </c>
      <c r="Z30" s="1">
        <v>1</v>
      </c>
    </row>
    <row r="31" spans="1:26" x14ac:dyDescent="0.25">
      <c r="A31" s="1">
        <v>2</v>
      </c>
      <c r="B31" s="1" t="s">
        <v>103</v>
      </c>
      <c r="C31" s="1" t="str">
        <f ca="1">IFERROR(__xludf.DUMMYFUNCTION("GOOGLETRANSLATE(B30, ""ne"", ""en"")"),"Madhesh Pradesh")</f>
        <v>Madhesh Pradesh</v>
      </c>
      <c r="D31" s="1">
        <v>15</v>
      </c>
      <c r="E31" s="1" t="s">
        <v>104</v>
      </c>
      <c r="F31" s="1" t="str">
        <f ca="1">IFERROR(__xludf.DUMMYFUNCTION("GOOGLETRANSLATE(E30,""ne"", ""en"")"),"Saptari")</f>
        <v>Saptari</v>
      </c>
      <c r="G31" s="1">
        <v>1</v>
      </c>
      <c r="H31" s="1">
        <v>21</v>
      </c>
      <c r="I31" s="1">
        <v>71324</v>
      </c>
      <c r="J31" s="1" t="s">
        <v>105</v>
      </c>
      <c r="K31" s="1" t="str">
        <f ca="1">IFERROR(__xludf.DUMMYFUNCTION("GOOGLETRANSLATE(J30, ""ne"", ""en"")"),"Pushpa Kumari Chaudhary")</f>
        <v>Pushpa Kumari Chaudhary</v>
      </c>
      <c r="L31" s="1" t="s">
        <v>43</v>
      </c>
      <c r="M31" s="1" t="str">
        <f ca="1">IFERROR(__xludf.DUMMYFUNCTION("GOOGLETRANSLATE(L30, ""ne"", ""en"")"),"National Independence Party")</f>
        <v>National Independence Party</v>
      </c>
      <c r="N31" s="1">
        <v>38195</v>
      </c>
      <c r="O31" s="1">
        <v>53.55</v>
      </c>
      <c r="P31" s="1" t="s">
        <v>106</v>
      </c>
      <c r="Q31" s="1" t="str">
        <f ca="1">IFERROR(__xludf.DUMMYFUNCTION("GOOGLETRANSLATE(P30,""ne"", ""en"")"),"Sumit Kumar -")</f>
        <v>Sumit Kumar -</v>
      </c>
      <c r="R31" s="1" t="s">
        <v>107</v>
      </c>
      <c r="S31" s="1" t="str">
        <f ca="1">IFERROR(__xludf.DUMMYFUNCTION("GOOGLETRANSLATE(R30, ""ne"", ""en"")"),"Swabhiman Party")</f>
        <v>Swabhiman Party</v>
      </c>
      <c r="T31" s="1">
        <v>7847</v>
      </c>
      <c r="U31" s="1">
        <v>11</v>
      </c>
      <c r="V31" s="1">
        <v>30348</v>
      </c>
      <c r="W31" s="1">
        <v>42.55</v>
      </c>
      <c r="X31" s="1" t="b">
        <v>0</v>
      </c>
      <c r="Y31" s="1">
        <v>5</v>
      </c>
      <c r="Z31" s="1">
        <v>7</v>
      </c>
    </row>
    <row r="32" spans="1:26" x14ac:dyDescent="0.25">
      <c r="A32" s="1">
        <v>2</v>
      </c>
      <c r="B32" s="1" t="s">
        <v>103</v>
      </c>
      <c r="C32" s="1" t="str">
        <f ca="1">IFERROR(__xludf.DUMMYFUNCTION("GOOGLETRANSLATE(B31, ""ne"", ""en"")"),"Madhesh Pradesh")</f>
        <v>Madhesh Pradesh</v>
      </c>
      <c r="D32" s="1">
        <v>15</v>
      </c>
      <c r="E32" s="1" t="s">
        <v>104</v>
      </c>
      <c r="F32" s="1" t="str">
        <f ca="1">IFERROR(__xludf.DUMMYFUNCTION("GOOGLETRANSLATE(E31,""ne"", ""en"")"),"Saptari")</f>
        <v>Saptari</v>
      </c>
      <c r="G32" s="1">
        <v>2</v>
      </c>
      <c r="H32" s="1">
        <v>34</v>
      </c>
      <c r="I32" s="1">
        <v>62783</v>
      </c>
      <c r="J32" s="1" t="s">
        <v>108</v>
      </c>
      <c r="K32" s="1" t="str">
        <f ca="1">IFERROR(__xludf.DUMMYFUNCTION("GOOGLETRANSLATE(J31, ""ne"", ""en"")"),"Ramji Yadav")</f>
        <v>Ramji Yadav</v>
      </c>
      <c r="L32" s="1" t="s">
        <v>43</v>
      </c>
      <c r="M32" s="1" t="str">
        <f ca="1">IFERROR(__xludf.DUMMYFUNCTION("GOOGLETRANSLATE(L31, ""ne"", ""en"")"),"National Independence Party")</f>
        <v>National Independence Party</v>
      </c>
      <c r="N32" s="1">
        <v>28404</v>
      </c>
      <c r="O32" s="1">
        <v>45.24</v>
      </c>
      <c r="P32" s="1" t="s">
        <v>109</v>
      </c>
      <c r="Q32" s="1" t="str">
        <f ca="1">IFERROR(__xludf.DUMMYFUNCTION("GOOGLETRANSLATE(P31,""ne"", ""en"")"),"Umesh Kumar Yadav")</f>
        <v>Umesh Kumar Yadav</v>
      </c>
      <c r="R32" s="1" t="s">
        <v>110</v>
      </c>
      <c r="S32" s="1" t="str">
        <f ca="1">IFERROR(__xludf.DUMMYFUNCTION("GOOGLETRANSLATE(R31, ""ne"", ""en"")"),"Janata Samajwadi Party, Nepal")</f>
        <v>Janata Samajwadi Party, Nepal</v>
      </c>
      <c r="T32" s="1">
        <v>14263</v>
      </c>
      <c r="U32" s="1">
        <v>22.72</v>
      </c>
      <c r="V32" s="1">
        <v>14141</v>
      </c>
      <c r="W32" s="1">
        <v>22.52</v>
      </c>
      <c r="X32" s="1" t="b">
        <v>0</v>
      </c>
      <c r="Y32" s="1">
        <v>6</v>
      </c>
      <c r="Z32" s="1">
        <v>14</v>
      </c>
    </row>
    <row r="33" spans="1:26" x14ac:dyDescent="0.25">
      <c r="A33" s="1">
        <v>2</v>
      </c>
      <c r="B33" s="1" t="s">
        <v>103</v>
      </c>
      <c r="C33" s="1" t="str">
        <f ca="1">IFERROR(__xludf.DUMMYFUNCTION("GOOGLETRANSLATE(B32, ""ne"", ""en"")"),"Madhesh Pradesh")</f>
        <v>Madhesh Pradesh</v>
      </c>
      <c r="D33" s="1">
        <v>15</v>
      </c>
      <c r="E33" s="1" t="s">
        <v>104</v>
      </c>
      <c r="F33" s="1" t="str">
        <f ca="1">IFERROR(__xludf.DUMMYFUNCTION("GOOGLETRANSLATE(E32,""ne"", ""en"")"),"Saptari")</f>
        <v>Saptari</v>
      </c>
      <c r="G33" s="1">
        <v>3</v>
      </c>
      <c r="H33" s="1">
        <v>22</v>
      </c>
      <c r="I33" s="1">
        <v>69296</v>
      </c>
      <c r="J33" s="1" t="s">
        <v>111</v>
      </c>
      <c r="K33" s="1" t="str">
        <f ca="1">IFERROR(__xludf.DUMMYFUNCTION("GOOGLETRANSLATE(J32, ""ne"", ""en"")"),"Amar Kant Chaudhary")</f>
        <v>Amar Kant Chaudhary</v>
      </c>
      <c r="L33" s="1" t="s">
        <v>43</v>
      </c>
      <c r="M33" s="1" t="str">
        <f ca="1">IFERROR(__xludf.DUMMYFUNCTION("GOOGLETRANSLATE(L32, ""ne"", ""en"")"),"National Independence Party")</f>
        <v>National Independence Party</v>
      </c>
      <c r="N33" s="1">
        <v>32875</v>
      </c>
      <c r="O33" s="1">
        <v>47.44</v>
      </c>
      <c r="P33" s="1" t="s">
        <v>112</v>
      </c>
      <c r="Q33" s="1" t="str">
        <f ca="1">IFERROR(__xludf.DUMMYFUNCTION("GOOGLETRANSLATE(P32,""ne"", ""en"")"),"Upendra Yadav")</f>
        <v>Upendra Yadav</v>
      </c>
      <c r="R33" s="1" t="s">
        <v>110</v>
      </c>
      <c r="S33" s="1" t="str">
        <f ca="1">IFERROR(__xludf.DUMMYFUNCTION("GOOGLETRANSLATE(R32, ""ne"", ""en"")"),"Janata Samajwadi Party, Nepal")</f>
        <v>Janata Samajwadi Party, Nepal</v>
      </c>
      <c r="T33" s="1">
        <v>15239</v>
      </c>
      <c r="U33" s="1">
        <v>21.99</v>
      </c>
      <c r="V33" s="1">
        <v>17636</v>
      </c>
      <c r="W33" s="1">
        <v>25.45</v>
      </c>
      <c r="X33" s="1" t="b">
        <v>0</v>
      </c>
      <c r="Y33" s="1">
        <v>4</v>
      </c>
      <c r="Z33" s="1">
        <v>8</v>
      </c>
    </row>
    <row r="34" spans="1:26" x14ac:dyDescent="0.25">
      <c r="A34" s="1">
        <v>2</v>
      </c>
      <c r="B34" s="1" t="s">
        <v>103</v>
      </c>
      <c r="C34" s="1" t="str">
        <f ca="1">IFERROR(__xludf.DUMMYFUNCTION("GOOGLETRANSLATE(B33, ""ne"", ""en"")"),"Madhesh Pradesh")</f>
        <v>Madhesh Pradesh</v>
      </c>
      <c r="D34" s="1">
        <v>15</v>
      </c>
      <c r="E34" s="1" t="s">
        <v>104</v>
      </c>
      <c r="F34" s="1" t="str">
        <f ca="1">IFERROR(__xludf.DUMMYFUNCTION("GOOGLETRANSLATE(E33,""ne"", ""en"")"),"Saptari")</f>
        <v>Saptari</v>
      </c>
      <c r="G34" s="1">
        <v>4</v>
      </c>
      <c r="H34" s="1">
        <v>25</v>
      </c>
      <c r="I34" s="1">
        <v>66303</v>
      </c>
      <c r="J34" s="1" t="s">
        <v>113</v>
      </c>
      <c r="K34" s="1" t="str">
        <f ca="1">IFERROR(__xludf.DUMMYFUNCTION("GOOGLETRANSLATE(J33, ""ne"", ""en"")"),"Sitaram Sah")</f>
        <v>Sitaram Sah</v>
      </c>
      <c r="L34" s="1" t="s">
        <v>43</v>
      </c>
      <c r="M34" s="1" t="str">
        <f ca="1">IFERROR(__xludf.DUMMYFUNCTION("GOOGLETRANSLATE(L33, ""ne"", ""en"")"),"National Independence Party")</f>
        <v>National Independence Party</v>
      </c>
      <c r="N34" s="1">
        <v>36412</v>
      </c>
      <c r="O34" s="1">
        <v>54.92</v>
      </c>
      <c r="P34" s="1" t="s">
        <v>114</v>
      </c>
      <c r="Q34" s="1" t="str">
        <f ca="1">IFERROR(__xludf.DUMMYFUNCTION("GOOGLETRANSLATE(P33,""ne"", ""en"")"),"Teju Lal Chaudhary")</f>
        <v>Teju Lal Chaudhary</v>
      </c>
      <c r="R34" s="1" t="s">
        <v>31</v>
      </c>
      <c r="S34" s="1" t="str">
        <f ca="1">IFERROR(__xludf.DUMMYFUNCTION("GOOGLETRANSLATE(R33, ""ne"", ""en"")"),"Nepali Congress")</f>
        <v>Nepali Congress</v>
      </c>
      <c r="T34" s="1">
        <v>13103</v>
      </c>
      <c r="U34" s="1">
        <v>19.760000000000002</v>
      </c>
      <c r="V34" s="1">
        <v>23309</v>
      </c>
      <c r="W34" s="1">
        <v>35.159999999999997</v>
      </c>
      <c r="X34" s="1" t="b">
        <v>0</v>
      </c>
      <c r="Y34" s="1">
        <v>5</v>
      </c>
      <c r="Z34" s="1">
        <v>11</v>
      </c>
    </row>
    <row r="35" spans="1:26" x14ac:dyDescent="0.25">
      <c r="A35" s="1">
        <v>2</v>
      </c>
      <c r="B35" s="1" t="s">
        <v>103</v>
      </c>
      <c r="C35" s="1" t="str">
        <f ca="1">IFERROR(__xludf.DUMMYFUNCTION("GOOGLETRANSLATE(B34, ""ne"", ""en"")"),"Madhesh Pradesh")</f>
        <v>Madhesh Pradesh</v>
      </c>
      <c r="D35" s="1">
        <v>16</v>
      </c>
      <c r="E35" s="1" t="s">
        <v>115</v>
      </c>
      <c r="F35" s="1" t="str">
        <f ca="1">IFERROR(__xludf.DUMMYFUNCTION("GOOGLETRANSLATE(E34,""ne"", ""en"")"),"Siraha")</f>
        <v>Siraha</v>
      </c>
      <c r="G35" s="1">
        <v>1</v>
      </c>
      <c r="H35" s="1">
        <v>32</v>
      </c>
      <c r="I35" s="1">
        <v>67352</v>
      </c>
      <c r="J35" s="1" t="s">
        <v>116</v>
      </c>
      <c r="K35" s="1" t="str">
        <f ca="1">IFERROR(__xludf.DUMMYFUNCTION("GOOGLETRANSLATE(J34, ""ne"", ""en"")"),"Bablu Gupta")</f>
        <v>Bablu Gupta</v>
      </c>
      <c r="L35" s="1" t="s">
        <v>43</v>
      </c>
      <c r="M35" s="1" t="str">
        <f ca="1">IFERROR(__xludf.DUMMYFUNCTION("GOOGLETRANSLATE(L34, ""ne"", ""en"")"),"National Independence Party")</f>
        <v>National Independence Party</v>
      </c>
      <c r="N35" s="1">
        <v>41322</v>
      </c>
      <c r="O35" s="1">
        <v>61.35</v>
      </c>
      <c r="P35" s="1" t="s">
        <v>117</v>
      </c>
      <c r="Q35" s="1" t="str">
        <f ca="1">IFERROR(__xludf.DUMMYFUNCTION("GOOGLETRANSLATE(P34,""ne"", ""en"")"),"Ram Sundar Chaudhary")</f>
        <v>Ram Sundar Chaudhary</v>
      </c>
      <c r="R35" s="1" t="s">
        <v>31</v>
      </c>
      <c r="S35" s="1" t="str">
        <f ca="1">IFERROR(__xludf.DUMMYFUNCTION("GOOGLETRANSLATE(R34, ""ne"", ""en"")"),"Nepali Congress")</f>
        <v>Nepali Congress</v>
      </c>
      <c r="T35" s="1">
        <v>9784</v>
      </c>
      <c r="U35" s="1">
        <v>14.53</v>
      </c>
      <c r="V35" s="1">
        <v>31538</v>
      </c>
      <c r="W35" s="1">
        <v>46.83</v>
      </c>
      <c r="X35" s="1" t="b">
        <v>0</v>
      </c>
      <c r="Y35" s="1">
        <v>2</v>
      </c>
      <c r="Z35" s="1">
        <v>18</v>
      </c>
    </row>
    <row r="36" spans="1:26" x14ac:dyDescent="0.25">
      <c r="A36" s="1">
        <v>2</v>
      </c>
      <c r="B36" s="1" t="s">
        <v>103</v>
      </c>
      <c r="C36" s="1" t="str">
        <f ca="1">IFERROR(__xludf.DUMMYFUNCTION("GOOGLETRANSLATE(B35, ""ne"", ""en"")"),"Madhesh Pradesh")</f>
        <v>Madhesh Pradesh</v>
      </c>
      <c r="D36" s="1">
        <v>16</v>
      </c>
      <c r="E36" s="1" t="s">
        <v>115</v>
      </c>
      <c r="F36" s="1" t="str">
        <f ca="1">IFERROR(__xludf.DUMMYFUNCTION("GOOGLETRANSLATE(E35,""ne"", ""en"")"),"Siraha")</f>
        <v>Siraha</v>
      </c>
      <c r="G36" s="1">
        <v>2</v>
      </c>
      <c r="H36" s="1">
        <v>29</v>
      </c>
      <c r="I36" s="1">
        <v>69643</v>
      </c>
      <c r="J36" s="1" t="s">
        <v>118</v>
      </c>
      <c r="K36" s="1" t="str">
        <f ca="1">IFERROR(__xludf.DUMMYFUNCTION("GOOGLETRANSLATE(J35, ""ne"", ""en"")"),"Shiv Shankar Yadav")</f>
        <v>Shiv Shankar Yadav</v>
      </c>
      <c r="L36" s="1" t="s">
        <v>43</v>
      </c>
      <c r="M36" s="1" t="str">
        <f ca="1">IFERROR(__xludf.DUMMYFUNCTION("GOOGLETRANSLATE(L35, ""ne"", ""en"")"),"National Independence Party")</f>
        <v>National Independence Party</v>
      </c>
      <c r="N36" s="1">
        <v>39561</v>
      </c>
      <c r="O36" s="1">
        <v>56.81</v>
      </c>
      <c r="P36" s="1" t="s">
        <v>119</v>
      </c>
      <c r="Q36" s="1" t="str">
        <f ca="1">IFERROR(__xludf.DUMMYFUNCTION("GOOGLETRANSLATE(P35,""ne"", ""en"")"),"Ram Chandra Yadav")</f>
        <v>Ram Chandra Yadav</v>
      </c>
      <c r="R36" s="1" t="s">
        <v>31</v>
      </c>
      <c r="S36" s="1" t="str">
        <f ca="1">IFERROR(__xludf.DUMMYFUNCTION("GOOGLETRANSLATE(R35, ""ne"", ""en"")"),"Nepali Congress")</f>
        <v>Nepali Congress</v>
      </c>
      <c r="T36" s="1">
        <v>12814</v>
      </c>
      <c r="U36" s="1">
        <v>18.399999999999999</v>
      </c>
      <c r="V36" s="1">
        <v>26747</v>
      </c>
      <c r="W36" s="1">
        <v>38.409999999999997</v>
      </c>
      <c r="X36" s="1" t="b">
        <v>0</v>
      </c>
      <c r="Y36" s="1">
        <v>3</v>
      </c>
      <c r="Z36" s="1">
        <v>15</v>
      </c>
    </row>
    <row r="37" spans="1:26" x14ac:dyDescent="0.25">
      <c r="A37" s="1">
        <v>2</v>
      </c>
      <c r="B37" s="1" t="s">
        <v>103</v>
      </c>
      <c r="C37" s="1" t="str">
        <f ca="1">IFERROR(__xludf.DUMMYFUNCTION("GOOGLETRANSLATE(B36, ""ne"", ""en"")"),"Madhesh Pradesh")</f>
        <v>Madhesh Pradesh</v>
      </c>
      <c r="D37" s="1">
        <v>16</v>
      </c>
      <c r="E37" s="1" t="s">
        <v>115</v>
      </c>
      <c r="F37" s="1" t="str">
        <f ca="1">IFERROR(__xludf.DUMMYFUNCTION("GOOGLETRANSLATE(E36,""ne"", ""en"")"),"Siraha")</f>
        <v>Siraha</v>
      </c>
      <c r="G37" s="1">
        <v>3</v>
      </c>
      <c r="H37" s="1">
        <v>41</v>
      </c>
      <c r="I37" s="1">
        <v>70638</v>
      </c>
      <c r="J37" s="1" t="s">
        <v>120</v>
      </c>
      <c r="K37" s="1" t="str">
        <f ca="1">IFERROR(__xludf.DUMMYFUNCTION("GOOGLETRANSLATE(J36, ""ne"", ""en"")"),"Shambhu Kumar Yadav")</f>
        <v>Shambhu Kumar Yadav</v>
      </c>
      <c r="L37" s="1" t="s">
        <v>43</v>
      </c>
      <c r="M37" s="1" t="str">
        <f ca="1">IFERROR(__xludf.DUMMYFUNCTION("GOOGLETRANSLATE(L36, ""ne"", ""en"")"),"National Independence Party")</f>
        <v>National Independence Party</v>
      </c>
      <c r="N37" s="1">
        <v>32249</v>
      </c>
      <c r="O37" s="1">
        <v>45.65</v>
      </c>
      <c r="P37" s="1" t="s">
        <v>121</v>
      </c>
      <c r="Q37" s="1" t="str">
        <f ca="1">IFERROR(__xludf.DUMMYFUNCTION("GOOGLETRANSLATE(P36,""ne"", ""en"")"),"Leelanath Shrestha")</f>
        <v>Leelanath Shrestha</v>
      </c>
      <c r="R37" s="1" t="s">
        <v>29</v>
      </c>
      <c r="S37" s="1" t="str">
        <f ca="1">IFERROR(__xludf.DUMMYFUNCTION("GOOGLETRANSLATE(R36, ""ne"", ""en"")"),"Communist Party of Nepal (Unified Marxist-Leninist)")</f>
        <v>Communist Party of Nepal (Unified Marxist-Leninist)</v>
      </c>
      <c r="T37" s="1">
        <v>10156</v>
      </c>
      <c r="U37" s="1">
        <v>14.38</v>
      </c>
      <c r="V37" s="1">
        <v>22093</v>
      </c>
      <c r="W37" s="1">
        <v>31.28</v>
      </c>
      <c r="X37" s="1" t="b">
        <v>0</v>
      </c>
      <c r="Y37" s="1">
        <v>2</v>
      </c>
      <c r="Z37" s="1">
        <v>29</v>
      </c>
    </row>
    <row r="38" spans="1:26" x14ac:dyDescent="0.25">
      <c r="A38" s="1">
        <v>2</v>
      </c>
      <c r="B38" s="1" t="s">
        <v>103</v>
      </c>
      <c r="C38" s="1" t="str">
        <f ca="1">IFERROR(__xludf.DUMMYFUNCTION("GOOGLETRANSLATE(B37, ""ne"", ""en"")"),"Madhesh Pradesh")</f>
        <v>Madhesh Pradesh</v>
      </c>
      <c r="D38" s="1">
        <v>16</v>
      </c>
      <c r="E38" s="1" t="s">
        <v>115</v>
      </c>
      <c r="F38" s="1" t="str">
        <f ca="1">IFERROR(__xludf.DUMMYFUNCTION("GOOGLETRANSLATE(E37,""ne"", ""en"")"),"Siraha")</f>
        <v>Siraha</v>
      </c>
      <c r="G38" s="1">
        <v>4</v>
      </c>
      <c r="H38" s="1">
        <v>36</v>
      </c>
      <c r="I38" s="1">
        <v>63165</v>
      </c>
      <c r="J38" s="1" t="s">
        <v>122</v>
      </c>
      <c r="K38" s="1" t="str">
        <f ca="1">IFERROR(__xludf.DUMMYFUNCTION("GOOGLETRANSLATE(J37, ""ne"", ""en"")"),"Tapeshwar Yadav")</f>
        <v>Tapeshwar Yadav</v>
      </c>
      <c r="L38" s="1" t="s">
        <v>43</v>
      </c>
      <c r="M38" s="1" t="str">
        <f ca="1">IFERROR(__xludf.DUMMYFUNCTION("GOOGLETRANSLATE(L37, ""ne"", ""en"")"),"National Independence Party")</f>
        <v>National Independence Party</v>
      </c>
      <c r="N38" s="1">
        <v>36210</v>
      </c>
      <c r="O38" s="1">
        <v>57.33</v>
      </c>
      <c r="P38" s="1" t="s">
        <v>123</v>
      </c>
      <c r="Q38" s="1" t="str">
        <f ca="1">IFERROR(__xludf.DUMMYFUNCTION("GOOGLETRANSLATE(P37,""ne"", ""en"")"),"Ajay Shankar Nayak")</f>
        <v>Ajay Shankar Nayak</v>
      </c>
      <c r="R38" s="1" t="s">
        <v>91</v>
      </c>
      <c r="S38" s="1" t="str">
        <f ca="1">IFERROR(__xludf.DUMMYFUNCTION("GOOGLETRANSLATE(R37, ""ne"", ""en"")"),"Nepali Communist Party")</f>
        <v>Nepali Communist Party</v>
      </c>
      <c r="T38" s="1">
        <v>7972</v>
      </c>
      <c r="U38" s="1">
        <v>12.62</v>
      </c>
      <c r="V38" s="1">
        <v>28238</v>
      </c>
      <c r="W38" s="1">
        <v>44.71</v>
      </c>
      <c r="X38" s="1" t="b">
        <v>0</v>
      </c>
      <c r="Y38" s="1">
        <v>1</v>
      </c>
      <c r="Z38" s="1">
        <v>23</v>
      </c>
    </row>
    <row r="39" spans="1:26" x14ac:dyDescent="0.25">
      <c r="A39" s="1">
        <v>2</v>
      </c>
      <c r="B39" s="1" t="s">
        <v>103</v>
      </c>
      <c r="C39" s="1" t="str">
        <f ca="1">IFERROR(__xludf.DUMMYFUNCTION("GOOGLETRANSLATE(B38, ""ne"", ""en"")"),"Madhesh Pradesh")</f>
        <v>Madhesh Pradesh</v>
      </c>
      <c r="D39" s="1">
        <v>20</v>
      </c>
      <c r="E39" s="1" t="s">
        <v>124</v>
      </c>
      <c r="F39" s="1" t="str">
        <f ca="1">IFERROR(__xludf.DUMMYFUNCTION("GOOGLETRANSLATE(E38,""ne"", ""en"")"),"Dhanusha")</f>
        <v>Dhanusha</v>
      </c>
      <c r="G39" s="1">
        <v>1</v>
      </c>
      <c r="H39" s="1">
        <v>41</v>
      </c>
      <c r="I39" s="1">
        <v>0</v>
      </c>
      <c r="J39" s="1" t="s">
        <v>125</v>
      </c>
      <c r="K39" s="1" t="str">
        <f ca="1">IFERROR(__xludf.DUMMYFUNCTION("GOOGLETRANSLATE(J38, ""ne"", ""en"")"),"Ramachandra Mandal")</f>
        <v>Ramachandra Mandal</v>
      </c>
      <c r="L39" s="1" t="s">
        <v>29</v>
      </c>
      <c r="M39" s="1" t="str">
        <f ca="1">IFERROR(__xludf.DUMMYFUNCTION("GOOGLETRANSLATE(L38, ""ne"", ""en"")"),"Communist Party of Nepal (Unified Marxist-Leninist)")</f>
        <v>Communist Party of Nepal (Unified Marxist-Leninist)</v>
      </c>
      <c r="N39" s="1">
        <v>0</v>
      </c>
      <c r="O39" s="1">
        <v>0</v>
      </c>
      <c r="P39" s="1" t="s">
        <v>126</v>
      </c>
      <c r="Q39" s="1" t="str">
        <f ca="1">IFERROR(__xludf.DUMMYFUNCTION("GOOGLETRANSLATE(P38,""ne"", ""en"")"),"Ram Paltan Shah")</f>
        <v>Ram Paltan Shah</v>
      </c>
      <c r="R39" s="1" t="s">
        <v>31</v>
      </c>
      <c r="S39" s="1" t="str">
        <f ca="1">IFERROR(__xludf.DUMMYFUNCTION("GOOGLETRANSLATE(R38, ""ne"", ""en"")"),"Nepali Congress")</f>
        <v>Nepali Congress</v>
      </c>
      <c r="T39" s="1">
        <v>0</v>
      </c>
      <c r="U39" s="1">
        <v>0</v>
      </c>
      <c r="V39" s="1">
        <v>0</v>
      </c>
      <c r="W39" s="1">
        <v>0</v>
      </c>
      <c r="X39" s="1" t="b">
        <v>1</v>
      </c>
      <c r="Y39" s="1">
        <v>7</v>
      </c>
      <c r="Z39" s="1">
        <v>29</v>
      </c>
    </row>
    <row r="40" spans="1:26" x14ac:dyDescent="0.25">
      <c r="A40" s="1">
        <v>2</v>
      </c>
      <c r="B40" s="1" t="s">
        <v>103</v>
      </c>
      <c r="C40" s="1" t="str">
        <f ca="1">IFERROR(__xludf.DUMMYFUNCTION("GOOGLETRANSLATE(B39, ""ne"", ""en"")"),"Madhesh Pradesh")</f>
        <v>Madhesh Pradesh</v>
      </c>
      <c r="D40" s="1">
        <v>20</v>
      </c>
      <c r="E40" s="1" t="s">
        <v>124</v>
      </c>
      <c r="F40" s="1" t="str">
        <f ca="1">IFERROR(__xludf.DUMMYFUNCTION("GOOGLETRANSLATE(E39,""ne"", ""en"")"),"Dhanusha")</f>
        <v>Dhanusha</v>
      </c>
      <c r="G40" s="1">
        <v>2</v>
      </c>
      <c r="H40" s="1">
        <v>34</v>
      </c>
      <c r="I40" s="1">
        <v>78037</v>
      </c>
      <c r="J40" s="1" t="s">
        <v>127</v>
      </c>
      <c r="K40" s="1" t="str">
        <f ca="1">IFERROR(__xludf.DUMMYFUNCTION("GOOGLETRANSLATE(J39, ""ne"", ""en"")"),"Ram Vinod Yadav")</f>
        <v>Ram Vinod Yadav</v>
      </c>
      <c r="L40" s="1" t="s">
        <v>43</v>
      </c>
      <c r="M40" s="1" t="str">
        <f ca="1">IFERROR(__xludf.DUMMYFUNCTION("GOOGLETRANSLATE(L39, ""ne"", ""en"")"),"National Independence Party")</f>
        <v>National Independence Party</v>
      </c>
      <c r="N40" s="1">
        <v>41637</v>
      </c>
      <c r="O40" s="1">
        <v>53.36</v>
      </c>
      <c r="P40" s="1" t="s">
        <v>128</v>
      </c>
      <c r="Q40" s="1" t="str">
        <f ca="1">IFERROR(__xludf.DUMMYFUNCTION("GOOGLETRANSLATE(P39,""ne"", ""en"")"),"Dinesh Prasad Yadav Parsaila")</f>
        <v>Dinesh Prasad Yadav Parsaila</v>
      </c>
      <c r="R40" s="1" t="s">
        <v>31</v>
      </c>
      <c r="S40" s="1" t="str">
        <f ca="1">IFERROR(__xludf.DUMMYFUNCTION("GOOGLETRANSLATE(R39, ""ne"", ""en"")"),"Nepali Congress")</f>
        <v>Nepali Congress</v>
      </c>
      <c r="T40" s="1">
        <v>10198</v>
      </c>
      <c r="U40" s="1">
        <v>13.07</v>
      </c>
      <c r="V40" s="1">
        <v>31439</v>
      </c>
      <c r="W40" s="1">
        <v>40.29</v>
      </c>
      <c r="X40" s="1" t="b">
        <v>0</v>
      </c>
      <c r="Y40" s="1">
        <v>1</v>
      </c>
      <c r="Z40" s="1">
        <v>24</v>
      </c>
    </row>
    <row r="41" spans="1:26" x14ac:dyDescent="0.25">
      <c r="A41" s="1">
        <v>2</v>
      </c>
      <c r="B41" s="1" t="s">
        <v>103</v>
      </c>
      <c r="C41" s="1" t="str">
        <f ca="1">IFERROR(__xludf.DUMMYFUNCTION("GOOGLETRANSLATE(B40, ""ne"", ""en"")"),"Madhesh Pradesh")</f>
        <v>Madhesh Pradesh</v>
      </c>
      <c r="D41" s="1">
        <v>20</v>
      </c>
      <c r="E41" s="1" t="s">
        <v>124</v>
      </c>
      <c r="F41" s="1" t="str">
        <f ca="1">IFERROR(__xludf.DUMMYFUNCTION("GOOGLETRANSLATE(E40,""ne"", ""en"")"),"Dhanusha")</f>
        <v>Dhanusha</v>
      </c>
      <c r="G41" s="1">
        <v>3</v>
      </c>
      <c r="H41" s="1">
        <v>45</v>
      </c>
      <c r="I41" s="1">
        <v>74377</v>
      </c>
      <c r="J41" s="1" t="s">
        <v>129</v>
      </c>
      <c r="K41" s="1" t="str">
        <f ca="1">IFERROR(__xludf.DUMMYFUNCTION("GOOGLETRANSLATE(J40, ""ne"", ""en"")"),"Manish Jha")</f>
        <v>Manish Jha</v>
      </c>
      <c r="L41" s="1" t="s">
        <v>43</v>
      </c>
      <c r="M41" s="1" t="str">
        <f ca="1">IFERROR(__xludf.DUMMYFUNCTION("GOOGLETRANSLATE(L40, ""ne"", ""en"")"),"National Independence Party")</f>
        <v>National Independence Party</v>
      </c>
      <c r="N41" s="1">
        <v>43988</v>
      </c>
      <c r="O41" s="1">
        <v>59.14</v>
      </c>
      <c r="P41" s="1" t="s">
        <v>130</v>
      </c>
      <c r="Q41" s="1" t="str">
        <f ca="1">IFERROR(__xludf.DUMMYFUNCTION("GOOGLETRANSLATE(P40,""ne"", ""en"")"),"Bimalendra Nidhi")</f>
        <v>Bimalendra Nidhi</v>
      </c>
      <c r="R41" s="1" t="s">
        <v>31</v>
      </c>
      <c r="S41" s="1" t="str">
        <f ca="1">IFERROR(__xludf.DUMMYFUNCTION("GOOGLETRANSLATE(R40, ""ne"", ""en"")"),"Nepali Congress")</f>
        <v>Nepali Congress</v>
      </c>
      <c r="T41" s="1">
        <v>16652</v>
      </c>
      <c r="U41" s="1">
        <v>22.39</v>
      </c>
      <c r="V41" s="1">
        <v>27336</v>
      </c>
      <c r="W41" s="1">
        <v>36.75</v>
      </c>
      <c r="X41" s="1" t="b">
        <v>0</v>
      </c>
      <c r="Y41" s="1">
        <v>6</v>
      </c>
      <c r="Z41" s="1">
        <v>29</v>
      </c>
    </row>
    <row r="42" spans="1:26" x14ac:dyDescent="0.25">
      <c r="A42" s="1">
        <v>2</v>
      </c>
      <c r="B42" s="1" t="s">
        <v>103</v>
      </c>
      <c r="C42" s="1" t="str">
        <f ca="1">IFERROR(__xludf.DUMMYFUNCTION("GOOGLETRANSLATE(B41, ""ne"", ""en"")"),"Madhesh Pradesh")</f>
        <v>Madhesh Pradesh</v>
      </c>
      <c r="D42" s="1">
        <v>20</v>
      </c>
      <c r="E42" s="1" t="s">
        <v>124</v>
      </c>
      <c r="F42" s="1" t="str">
        <f ca="1">IFERROR(__xludf.DUMMYFUNCTION("GOOGLETRANSLATE(E41,""ne"", ""en"")"),"Dhanusha")</f>
        <v>Dhanusha</v>
      </c>
      <c r="G42" s="1">
        <v>4</v>
      </c>
      <c r="H42" s="1">
        <v>37</v>
      </c>
      <c r="I42" s="1">
        <v>79156</v>
      </c>
      <c r="J42" s="1" t="s">
        <v>131</v>
      </c>
      <c r="K42" s="1" t="str">
        <f ca="1">IFERROR(__xludf.DUMMYFUNCTION("GOOGLETRANSLATE(J41, ""ne"", ""en"")"),"Raj Kishore Mahato")</f>
        <v>Raj Kishore Mahato</v>
      </c>
      <c r="L42" s="1" t="s">
        <v>43</v>
      </c>
      <c r="M42" s="1" t="str">
        <f ca="1">IFERROR(__xludf.DUMMYFUNCTION("GOOGLETRANSLATE(L41, ""ne"", ""en"")"),"National Independence Party")</f>
        <v>National Independence Party</v>
      </c>
      <c r="N42" s="1">
        <v>48270</v>
      </c>
      <c r="O42" s="1">
        <v>60.98</v>
      </c>
      <c r="P42" s="1" t="s">
        <v>132</v>
      </c>
      <c r="Q42" s="1" t="str">
        <f ca="1">IFERROR(__xludf.DUMMYFUNCTION("GOOGLETRANSLATE(P41,""ne"", ""en"")"),"Mahendra Yadav")</f>
        <v>Mahendra Yadav</v>
      </c>
      <c r="R42" s="1" t="s">
        <v>31</v>
      </c>
      <c r="S42" s="1" t="str">
        <f ca="1">IFERROR(__xludf.DUMMYFUNCTION("GOOGLETRANSLATE(R41, ""ne"", ""en"")"),"Nepali Congress")</f>
        <v>Nepali Congress</v>
      </c>
      <c r="T42" s="1">
        <v>15809</v>
      </c>
      <c r="U42" s="1">
        <v>19.97</v>
      </c>
      <c r="V42" s="1">
        <v>32461</v>
      </c>
      <c r="W42" s="1">
        <v>41.01</v>
      </c>
      <c r="X42" s="1" t="b">
        <v>0</v>
      </c>
      <c r="Y42" s="1">
        <v>1</v>
      </c>
      <c r="Z42" s="1">
        <v>24</v>
      </c>
    </row>
    <row r="43" spans="1:26" x14ac:dyDescent="0.25">
      <c r="A43" s="1">
        <v>2</v>
      </c>
      <c r="B43" s="1" t="s">
        <v>103</v>
      </c>
      <c r="C43" s="1" t="str">
        <f ca="1">IFERROR(__xludf.DUMMYFUNCTION("GOOGLETRANSLATE(B42, ""ne"", ""en"")"),"Madhesh Pradesh")</f>
        <v>Madhesh Pradesh</v>
      </c>
      <c r="D43" s="1">
        <v>21</v>
      </c>
      <c r="E43" s="1" t="s">
        <v>133</v>
      </c>
      <c r="F43" s="1" t="str">
        <f ca="1">IFERROR(__xludf.DUMMYFUNCTION("GOOGLETRANSLATE(E42,""ne"", ""en"")"),"Mahottari")</f>
        <v>Mahottari</v>
      </c>
      <c r="G43" s="1">
        <v>1</v>
      </c>
      <c r="H43" s="1">
        <v>25</v>
      </c>
      <c r="I43" s="1">
        <v>63243</v>
      </c>
      <c r="J43" s="1" t="s">
        <v>134</v>
      </c>
      <c r="K43" s="1" t="str">
        <f ca="1">IFERROR(__xludf.DUMMYFUNCTION("GOOGLETRANSLATE(J42, ""ne"", ""en"")"),"Pramod Kumar Mahato")</f>
        <v>Pramod Kumar Mahato</v>
      </c>
      <c r="L43" s="1" t="s">
        <v>43</v>
      </c>
      <c r="M43" s="1" t="str">
        <f ca="1">IFERROR(__xludf.DUMMYFUNCTION("GOOGLETRANSLATE(L42, ""ne"", ""en"")"),"National Independence Party")</f>
        <v>National Independence Party</v>
      </c>
      <c r="N43" s="1">
        <v>34636</v>
      </c>
      <c r="O43" s="1">
        <v>54.77</v>
      </c>
      <c r="P43" s="1" t="s">
        <v>135</v>
      </c>
      <c r="Q43" s="1" t="str">
        <f ca="1">IFERROR(__xludf.DUMMYFUNCTION("GOOGLETRANSLATE(P42,""ne"", ""en"")"),"Giriraj Mani Pokharel")</f>
        <v>Giriraj Mani Pokharel</v>
      </c>
      <c r="R43" s="1" t="s">
        <v>91</v>
      </c>
      <c r="S43" s="1" t="str">
        <f ca="1">IFERROR(__xludf.DUMMYFUNCTION("GOOGLETRANSLATE(R42, ""ne"", ""en"")"),"Nepali Communist Party")</f>
        <v>Nepali Communist Party</v>
      </c>
      <c r="T43" s="1">
        <v>12624</v>
      </c>
      <c r="U43" s="1">
        <v>19.96</v>
      </c>
      <c r="V43" s="1">
        <v>22012</v>
      </c>
      <c r="W43" s="1">
        <v>34.81</v>
      </c>
      <c r="X43" s="1" t="b">
        <v>0</v>
      </c>
      <c r="Y43" s="1">
        <v>5</v>
      </c>
      <c r="Z43" s="1">
        <v>12</v>
      </c>
    </row>
    <row r="44" spans="1:26" x14ac:dyDescent="0.25">
      <c r="A44" s="1">
        <v>2</v>
      </c>
      <c r="B44" s="1" t="s">
        <v>103</v>
      </c>
      <c r="C44" s="1" t="str">
        <f ca="1">IFERROR(__xludf.DUMMYFUNCTION("GOOGLETRANSLATE(B43, ""ne"", ""en"")"),"Madhesh Pradesh")</f>
        <v>Madhesh Pradesh</v>
      </c>
      <c r="D44" s="1">
        <v>21</v>
      </c>
      <c r="E44" s="1" t="s">
        <v>133</v>
      </c>
      <c r="F44" s="1" t="str">
        <f ca="1">IFERROR(__xludf.DUMMYFUNCTION("GOOGLETRANSLATE(E43,""ne"", ""en"")"),"Mahottari")</f>
        <v>Mahottari</v>
      </c>
      <c r="G44" s="1">
        <v>2</v>
      </c>
      <c r="H44" s="1">
        <v>37</v>
      </c>
      <c r="I44" s="1">
        <v>59147</v>
      </c>
      <c r="J44" s="1" t="s">
        <v>136</v>
      </c>
      <c r="K44" s="1" t="str">
        <f ca="1">IFERROR(__xludf.DUMMYFUNCTION("GOOGLETRANSLATE(J43, ""ne"", ""en"")"),"Deepak Kumar Sah")</f>
        <v>Deepak Kumar Sah</v>
      </c>
      <c r="L44" s="1" t="s">
        <v>43</v>
      </c>
      <c r="M44" s="1" t="str">
        <f ca="1">IFERROR(__xludf.DUMMYFUNCTION("GOOGLETRANSLATE(L43, ""ne"", ""en"")"),"National Independence Party")</f>
        <v>National Independence Party</v>
      </c>
      <c r="N44" s="1">
        <v>32722</v>
      </c>
      <c r="O44" s="1">
        <v>55.32</v>
      </c>
      <c r="P44" s="1" t="s">
        <v>137</v>
      </c>
      <c r="Q44" s="1" t="str">
        <f ca="1">IFERROR(__xludf.DUMMYFUNCTION("GOOGLETRANSLATE(P43,""ne"", ""en"")"),"Sharat Singh Bhandari")</f>
        <v>Sharat Singh Bhandari</v>
      </c>
      <c r="R44" s="1" t="s">
        <v>110</v>
      </c>
      <c r="S44" s="1" t="str">
        <f ca="1">IFERROR(__xludf.DUMMYFUNCTION("GOOGLETRANSLATE(R43, ""ne"", ""en"")"),"Janata Samajwadi Party, Nepal")</f>
        <v>Janata Samajwadi Party, Nepal</v>
      </c>
      <c r="T44" s="1">
        <v>10198</v>
      </c>
      <c r="U44" s="1">
        <v>17.239999999999998</v>
      </c>
      <c r="V44" s="1">
        <v>22524</v>
      </c>
      <c r="W44" s="1">
        <v>38.08</v>
      </c>
      <c r="X44" s="1" t="b">
        <v>0</v>
      </c>
      <c r="Y44" s="1">
        <v>5</v>
      </c>
      <c r="Z44" s="1">
        <v>22</v>
      </c>
    </row>
    <row r="45" spans="1:26" x14ac:dyDescent="0.25">
      <c r="A45" s="1">
        <v>2</v>
      </c>
      <c r="B45" s="1" t="s">
        <v>103</v>
      </c>
      <c r="C45" s="1" t="str">
        <f ca="1">IFERROR(__xludf.DUMMYFUNCTION("GOOGLETRANSLATE(B44, ""ne"", ""en"")"),"Madhesh Pradesh")</f>
        <v>Madhesh Pradesh</v>
      </c>
      <c r="D45" s="1">
        <v>21</v>
      </c>
      <c r="E45" s="1" t="s">
        <v>133</v>
      </c>
      <c r="F45" s="1" t="str">
        <f ca="1">IFERROR(__xludf.DUMMYFUNCTION("GOOGLETRANSLATE(E44,""ne"", ""en"")"),"Mahottari")</f>
        <v>Mahottari</v>
      </c>
      <c r="G45" s="1">
        <v>3</v>
      </c>
      <c r="H45" s="1">
        <v>41</v>
      </c>
      <c r="I45" s="1">
        <v>59478</v>
      </c>
      <c r="J45" s="1" t="s">
        <v>138</v>
      </c>
      <c r="K45" s="1" t="str">
        <f ca="1">IFERROR(__xludf.DUMMYFUNCTION("GOOGLETRANSLATE(J44, ""ne"", ""en"")"),"Ujjwal Kumar Jha")</f>
        <v>Ujjwal Kumar Jha</v>
      </c>
      <c r="L45" s="1" t="s">
        <v>43</v>
      </c>
      <c r="M45" s="1" t="str">
        <f ca="1">IFERROR(__xludf.DUMMYFUNCTION("GOOGLETRANSLATE(L44, ""ne"", ""en"")"),"National Independence Party")</f>
        <v>National Independence Party</v>
      </c>
      <c r="N45" s="1">
        <v>32451</v>
      </c>
      <c r="O45" s="1">
        <v>54.56</v>
      </c>
      <c r="P45" s="1" t="s">
        <v>139</v>
      </c>
      <c r="Q45" s="1" t="str">
        <f ca="1">IFERROR(__xludf.DUMMYFUNCTION("GOOGLETRANSLATE(P44,""ne"", ""en"")"),"Muhammad Rizwan")</f>
        <v>Muhammad Rizwan</v>
      </c>
      <c r="R45" s="1" t="s">
        <v>140</v>
      </c>
      <c r="S45" s="1" t="str">
        <f ca="1">IFERROR(__xludf.DUMMYFUNCTION("GOOGLETRANSLATE(R44, ""ne"", ""en"")"),"Nepal Federal Socialist Party (single election symbol)")</f>
        <v>Nepal Federal Socialist Party (single election symbol)</v>
      </c>
      <c r="T45" s="1">
        <v>5969</v>
      </c>
      <c r="U45" s="1">
        <v>10.039999999999999</v>
      </c>
      <c r="V45" s="1">
        <v>26482</v>
      </c>
      <c r="W45" s="1">
        <v>44.52</v>
      </c>
      <c r="X45" s="1" t="b">
        <v>0</v>
      </c>
      <c r="Y45" s="1">
        <v>2</v>
      </c>
      <c r="Z45" s="1">
        <v>26</v>
      </c>
    </row>
    <row r="46" spans="1:26" x14ac:dyDescent="0.25">
      <c r="A46" s="1">
        <v>2</v>
      </c>
      <c r="B46" s="1" t="s">
        <v>103</v>
      </c>
      <c r="C46" s="1" t="str">
        <f ca="1">IFERROR(__xludf.DUMMYFUNCTION("GOOGLETRANSLATE(B45, ""ne"", ""en"")"),"Madhesh Pradesh")</f>
        <v>Madhesh Pradesh</v>
      </c>
      <c r="D46" s="1">
        <v>21</v>
      </c>
      <c r="E46" s="1" t="s">
        <v>133</v>
      </c>
      <c r="F46" s="1" t="str">
        <f ca="1">IFERROR(__xludf.DUMMYFUNCTION("GOOGLETRANSLATE(E45,""ne"", ""en"")"),"Mahottari")</f>
        <v>Mahottari</v>
      </c>
      <c r="G46" s="1">
        <v>4</v>
      </c>
      <c r="H46" s="1">
        <v>36</v>
      </c>
      <c r="I46" s="1">
        <v>59543</v>
      </c>
      <c r="J46" s="1" t="s">
        <v>141</v>
      </c>
      <c r="K46" s="1" t="str">
        <f ca="1">IFERROR(__xludf.DUMMYFUNCTION("GOOGLETRANSLATE(J45, ""ne"", ""en"")"),"Gauri Kumari")</f>
        <v>Gauri Kumari</v>
      </c>
      <c r="L46" s="1" t="s">
        <v>43</v>
      </c>
      <c r="M46" s="1" t="str">
        <f ca="1">IFERROR(__xludf.DUMMYFUNCTION("GOOGLETRANSLATE(L45, ""ne"", ""en"")"),"National Independence Party")</f>
        <v>National Independence Party</v>
      </c>
      <c r="N46" s="1">
        <v>30132</v>
      </c>
      <c r="O46" s="1">
        <v>50.61</v>
      </c>
      <c r="P46" s="1" t="s">
        <v>142</v>
      </c>
      <c r="Q46" s="1" t="str">
        <f ca="1">IFERROR(__xludf.DUMMYFUNCTION("GOOGLETRANSLATE(P45,""ne"", ""en"")"),"Surendra Kumar Yadav")</f>
        <v>Surendra Kumar Yadav</v>
      </c>
      <c r="R46" s="1" t="s">
        <v>110</v>
      </c>
      <c r="S46" s="1" t="str">
        <f ca="1">IFERROR(__xludf.DUMMYFUNCTION("GOOGLETRANSLATE(R45, ""ne"", ""en"")"),"Janata Samajwadi Party, Nepal")</f>
        <v>Janata Samajwadi Party, Nepal</v>
      </c>
      <c r="T46" s="1">
        <v>8742</v>
      </c>
      <c r="U46" s="1">
        <v>14.68</v>
      </c>
      <c r="V46" s="1">
        <v>21390</v>
      </c>
      <c r="W46" s="1">
        <v>35.92</v>
      </c>
      <c r="X46" s="1" t="b">
        <v>0</v>
      </c>
      <c r="Y46" s="1">
        <v>7</v>
      </c>
      <c r="Z46" s="1">
        <v>23</v>
      </c>
    </row>
    <row r="47" spans="1:26" x14ac:dyDescent="0.25">
      <c r="A47" s="1">
        <v>2</v>
      </c>
      <c r="B47" s="1" t="s">
        <v>103</v>
      </c>
      <c r="C47" s="1" t="str">
        <f ca="1">IFERROR(__xludf.DUMMYFUNCTION("GOOGLETRANSLATE(B46, ""ne"", ""en"")"),"Madhesh Pradesh")</f>
        <v>Madhesh Pradesh</v>
      </c>
      <c r="D47" s="1">
        <v>22</v>
      </c>
      <c r="E47" s="1" t="s">
        <v>143</v>
      </c>
      <c r="F47" s="1" t="str">
        <f ca="1">IFERROR(__xludf.DUMMYFUNCTION("GOOGLETRANSLATE(E46,""ne"", ""en"")"),"Sarlahi")</f>
        <v>Sarlahi</v>
      </c>
      <c r="G47" s="1">
        <v>1</v>
      </c>
      <c r="H47" s="1">
        <v>28</v>
      </c>
      <c r="I47" s="1">
        <v>73842</v>
      </c>
      <c r="J47" s="1" t="s">
        <v>144</v>
      </c>
      <c r="K47" s="1" t="str">
        <f ca="1">IFERROR(__xludf.DUMMYFUNCTION("GOOGLETRANSLATE(J46, ""ne"", ""en"")"),"Nitima Bhandari (Karki)")</f>
        <v>Nitima Bhandari (Karki)</v>
      </c>
      <c r="L47" s="1" t="s">
        <v>43</v>
      </c>
      <c r="M47" s="1" t="str">
        <f ca="1">IFERROR(__xludf.DUMMYFUNCTION("GOOGLETRANSLATE(L46, ""ne"", ""en"")"),"National Independence Party")</f>
        <v>National Independence Party</v>
      </c>
      <c r="N47" s="1">
        <v>44181</v>
      </c>
      <c r="O47" s="1">
        <v>59.83</v>
      </c>
      <c r="P47" s="1" t="s">
        <v>145</v>
      </c>
      <c r="Q47" s="1" t="str">
        <f ca="1">IFERROR(__xludf.DUMMYFUNCTION("GOOGLETRANSLATE(P46,""ne"", ""en"")"),"Shambhu Lal Shrestha")</f>
        <v>Shambhu Lal Shrestha</v>
      </c>
      <c r="R47" s="1" t="s">
        <v>31</v>
      </c>
      <c r="S47" s="1" t="str">
        <f ca="1">IFERROR(__xludf.DUMMYFUNCTION("GOOGLETRANSLATE(R46, ""ne"", ""en"")"),"Nepali Congress")</f>
        <v>Nepali Congress</v>
      </c>
      <c r="T47" s="1">
        <v>7871</v>
      </c>
      <c r="U47" s="1">
        <v>10.66</v>
      </c>
      <c r="V47" s="1">
        <v>36310</v>
      </c>
      <c r="W47" s="1">
        <v>49.17</v>
      </c>
      <c r="X47" s="1" t="b">
        <v>0</v>
      </c>
      <c r="Y47" s="1">
        <v>1</v>
      </c>
      <c r="Z47" s="1">
        <v>9</v>
      </c>
    </row>
    <row r="48" spans="1:26" x14ac:dyDescent="0.25">
      <c r="A48" s="1">
        <v>2</v>
      </c>
      <c r="B48" s="1" t="s">
        <v>103</v>
      </c>
      <c r="C48" s="1" t="str">
        <f ca="1">IFERROR(__xludf.DUMMYFUNCTION("GOOGLETRANSLATE(B47, ""ne"", ""en"")"),"Madhesh Pradesh")</f>
        <v>Madhesh Pradesh</v>
      </c>
      <c r="D48" s="1">
        <v>22</v>
      </c>
      <c r="E48" s="1" t="s">
        <v>143</v>
      </c>
      <c r="F48" s="1" t="str">
        <f ca="1">IFERROR(__xludf.DUMMYFUNCTION("GOOGLETRANSLATE(E47,""ne"", ""en"")"),"Sarlahi")</f>
        <v>Sarlahi</v>
      </c>
      <c r="G48" s="1">
        <v>2</v>
      </c>
      <c r="H48" s="1">
        <v>31</v>
      </c>
      <c r="I48" s="1">
        <v>72381</v>
      </c>
      <c r="J48" s="1" t="s">
        <v>146</v>
      </c>
      <c r="K48" s="1" t="str">
        <f ca="1">IFERROR(__xludf.DUMMYFUNCTION("GOOGLETRANSLATE(J47, ""ne"", ""en"")"),"Robin Mahato")</f>
        <v>Robin Mahato</v>
      </c>
      <c r="L48" s="1" t="s">
        <v>43</v>
      </c>
      <c r="M48" s="1" t="str">
        <f ca="1">IFERROR(__xludf.DUMMYFUNCTION("GOOGLETRANSLATE(L47, ""ne"", ""en"")"),"National Independence Party")</f>
        <v>National Independence Party</v>
      </c>
      <c r="N48" s="1">
        <v>42512</v>
      </c>
      <c r="O48" s="1">
        <v>58.73</v>
      </c>
      <c r="P48" s="1" t="s">
        <v>147</v>
      </c>
      <c r="Q48" s="1" t="str">
        <f ca="1">IFERROR(__xludf.DUMMYFUNCTION("GOOGLETRANSLATE(P47,""ne"", ""en"")"),"Mahindra Rai Yadav")</f>
        <v>Mahindra Rai Yadav</v>
      </c>
      <c r="R48" s="1" t="s">
        <v>91</v>
      </c>
      <c r="S48" s="1" t="str">
        <f ca="1">IFERROR(__xludf.DUMMYFUNCTION("GOOGLETRANSLATE(R47, ""ne"", ""en"")"),"Nepali Communist Party")</f>
        <v>Nepali Communist Party</v>
      </c>
      <c r="T48" s="1">
        <v>8523</v>
      </c>
      <c r="U48" s="1">
        <v>11.78</v>
      </c>
      <c r="V48" s="1">
        <v>33989</v>
      </c>
      <c r="W48" s="1">
        <v>46.96</v>
      </c>
      <c r="X48" s="1" t="b">
        <v>0</v>
      </c>
      <c r="Y48" s="1">
        <v>1</v>
      </c>
      <c r="Z48" s="1">
        <v>17</v>
      </c>
    </row>
    <row r="49" spans="1:26" x14ac:dyDescent="0.25">
      <c r="A49" s="1">
        <v>2</v>
      </c>
      <c r="B49" s="1" t="s">
        <v>103</v>
      </c>
      <c r="C49" s="1" t="str">
        <f ca="1">IFERROR(__xludf.DUMMYFUNCTION("GOOGLETRANSLATE(B48, ""ne"", ""en"")"),"Madhesh Pradesh")</f>
        <v>Madhesh Pradesh</v>
      </c>
      <c r="D49" s="1">
        <v>22</v>
      </c>
      <c r="E49" s="1" t="s">
        <v>143</v>
      </c>
      <c r="F49" s="1" t="str">
        <f ca="1">IFERROR(__xludf.DUMMYFUNCTION("GOOGLETRANSLATE(E48,""ne"", ""en"")"),"Sarlahi")</f>
        <v>Sarlahi</v>
      </c>
      <c r="G49" s="1">
        <v>3</v>
      </c>
      <c r="H49" s="1">
        <v>34</v>
      </c>
      <c r="I49" s="1">
        <v>77838</v>
      </c>
      <c r="J49" s="1" t="s">
        <v>148</v>
      </c>
      <c r="K49" s="1" t="str">
        <f ca="1">IFERROR(__xludf.DUMMYFUNCTION("GOOGLETRANSLATE(J48, ""ne"", ""en"")"),"Narendra Shah Kalwar")</f>
        <v>Narendra Shah Kalwar</v>
      </c>
      <c r="L49" s="1" t="s">
        <v>43</v>
      </c>
      <c r="M49" s="1" t="str">
        <f ca="1">IFERROR(__xludf.DUMMYFUNCTION("GOOGLETRANSLATE(L48, ""ne"", ""en"")"),"National Independence Party")</f>
        <v>National Independence Party</v>
      </c>
      <c r="N49" s="1">
        <v>46890</v>
      </c>
      <c r="O49" s="1">
        <v>60.24</v>
      </c>
      <c r="P49" s="1" t="s">
        <v>149</v>
      </c>
      <c r="Q49" s="1" t="str">
        <f ca="1">IFERROR(__xludf.DUMMYFUNCTION("GOOGLETRANSLATE(P48,""ne"", ""en"")"),"Narayan Kazi Shrestha")</f>
        <v>Narayan Kazi Shrestha</v>
      </c>
      <c r="R49" s="1" t="s">
        <v>91</v>
      </c>
      <c r="S49" s="1" t="str">
        <f ca="1">IFERROR(__xludf.DUMMYFUNCTION("GOOGLETRANSLATE(R48, ""ne"", ""en"")"),"Nepali Communist Party")</f>
        <v>Nepali Communist Party</v>
      </c>
      <c r="T49" s="1">
        <v>13338</v>
      </c>
      <c r="U49" s="1">
        <v>17.14</v>
      </c>
      <c r="V49" s="1">
        <v>33552</v>
      </c>
      <c r="W49" s="1">
        <v>43.1</v>
      </c>
      <c r="X49" s="1" t="b">
        <v>0</v>
      </c>
      <c r="Y49" s="1">
        <v>2</v>
      </c>
      <c r="Z49" s="1">
        <v>19</v>
      </c>
    </row>
    <row r="50" spans="1:26" x14ac:dyDescent="0.25">
      <c r="A50" s="1">
        <v>2</v>
      </c>
      <c r="B50" s="1" t="s">
        <v>103</v>
      </c>
      <c r="C50" s="1" t="str">
        <f ca="1">IFERROR(__xludf.DUMMYFUNCTION("GOOGLETRANSLATE(B49, ""ne"", ""en"")"),"Madhesh Pradesh")</f>
        <v>Madhesh Pradesh</v>
      </c>
      <c r="D50" s="1">
        <v>22</v>
      </c>
      <c r="E50" s="1" t="s">
        <v>143</v>
      </c>
      <c r="F50" s="1" t="str">
        <f ca="1">IFERROR(__xludf.DUMMYFUNCTION("GOOGLETRANSLATE(E49,""ne"", ""en"")"),"Sarlahi")</f>
        <v>Sarlahi</v>
      </c>
      <c r="G50" s="1">
        <v>4</v>
      </c>
      <c r="H50" s="1">
        <v>38</v>
      </c>
      <c r="I50" s="1">
        <v>73350</v>
      </c>
      <c r="J50" s="1" t="s">
        <v>150</v>
      </c>
      <c r="K50" s="1" t="str">
        <f ca="1">IFERROR(__xludf.DUMMYFUNCTION("GOOGLETRANSLATE(J49, ""ne"", ""en"")"),"Amresh Kumar Singh")</f>
        <v>Amresh Kumar Singh</v>
      </c>
      <c r="L50" s="1" t="s">
        <v>43</v>
      </c>
      <c r="M50" s="1" t="str">
        <f ca="1">IFERROR(__xludf.DUMMYFUNCTION("GOOGLETRANSLATE(L49, ""ne"", ""en"")"),"National Independence Party")</f>
        <v>National Independence Party</v>
      </c>
      <c r="N50" s="1">
        <v>35688</v>
      </c>
      <c r="O50" s="1">
        <v>48.65</v>
      </c>
      <c r="P50" s="1" t="s">
        <v>151</v>
      </c>
      <c r="Q50" s="1" t="str">
        <f ca="1">IFERROR(__xludf.DUMMYFUNCTION("GOOGLETRANSLATE(P49,""ne"", ""en"")"),"Gagan Kumar Thapa")</f>
        <v>Gagan Kumar Thapa</v>
      </c>
      <c r="R50" s="1" t="s">
        <v>31</v>
      </c>
      <c r="S50" s="1" t="str">
        <f ca="1">IFERROR(__xludf.DUMMYFUNCTION("GOOGLETRANSLATE(R49, ""ne"", ""en"")"),"Nepali Congress")</f>
        <v>Nepali Congress</v>
      </c>
      <c r="T50" s="1">
        <v>22831</v>
      </c>
      <c r="U50" s="1">
        <v>31.13</v>
      </c>
      <c r="V50" s="1">
        <v>12857</v>
      </c>
      <c r="W50" s="1">
        <v>17.53</v>
      </c>
      <c r="X50" s="1" t="b">
        <v>0</v>
      </c>
      <c r="Y50" s="1">
        <v>2</v>
      </c>
      <c r="Z50" s="1">
        <v>25</v>
      </c>
    </row>
    <row r="51" spans="1:26" x14ac:dyDescent="0.25">
      <c r="A51" s="1">
        <v>2</v>
      </c>
      <c r="B51" s="1" t="s">
        <v>103</v>
      </c>
      <c r="C51" s="1" t="str">
        <f ca="1">IFERROR(__xludf.DUMMYFUNCTION("GOOGLETRANSLATE(B50, ""ne"", ""en"")"),"Madhesh Pradesh")</f>
        <v>Madhesh Pradesh</v>
      </c>
      <c r="D51" s="1">
        <v>32</v>
      </c>
      <c r="E51" s="1" t="s">
        <v>152</v>
      </c>
      <c r="F51" s="1" t="str">
        <f ca="1">IFERROR(__xludf.DUMMYFUNCTION("GOOGLETRANSLATE(E50,""ne"", ""en"")"),"Rautahat")</f>
        <v>Rautahat</v>
      </c>
      <c r="G51" s="1">
        <v>1</v>
      </c>
      <c r="H51" s="1">
        <v>39</v>
      </c>
      <c r="I51" s="1">
        <v>66053</v>
      </c>
      <c r="J51" s="1" t="s">
        <v>153</v>
      </c>
      <c r="K51" s="1" t="str">
        <f ca="1">IFERROR(__xludf.DUMMYFUNCTION("GOOGLETRANSLATE(J50, ""ne"", ""en"")"),"Rajesh Kumar Chaudhary")</f>
        <v>Rajesh Kumar Chaudhary</v>
      </c>
      <c r="L51" s="1" t="s">
        <v>43</v>
      </c>
      <c r="M51" s="1" t="str">
        <f ca="1">IFERROR(__xludf.DUMMYFUNCTION("GOOGLETRANSLATE(L50, ""ne"", ""en"")"),"National Independence Party")</f>
        <v>National Independence Party</v>
      </c>
      <c r="N51" s="1">
        <v>28946</v>
      </c>
      <c r="O51" s="1">
        <v>43.82</v>
      </c>
      <c r="P51" s="1" t="s">
        <v>154</v>
      </c>
      <c r="Q51" s="1" t="str">
        <f ca="1">IFERROR(__xludf.DUMMYFUNCTION("GOOGLETRANSLATE(P50,""ne"", ""en"")"),"Ajay Kumar Gupta")</f>
        <v>Ajay Kumar Gupta</v>
      </c>
      <c r="R51" s="1" t="s">
        <v>29</v>
      </c>
      <c r="S51" s="1" t="str">
        <f ca="1">IFERROR(__xludf.DUMMYFUNCTION("GOOGLETRANSLATE(R50, ""ne"", ""en"")"),"Communist Party of Nepal (Unified Marxist-Leninist)")</f>
        <v>Communist Party of Nepal (Unified Marxist-Leninist)</v>
      </c>
      <c r="T51" s="1">
        <v>10693</v>
      </c>
      <c r="U51" s="1">
        <v>16.190000000000001</v>
      </c>
      <c r="V51" s="1">
        <v>18253</v>
      </c>
      <c r="W51" s="1">
        <v>27.63</v>
      </c>
      <c r="X51" s="1" t="b">
        <v>0</v>
      </c>
      <c r="Y51" s="1">
        <v>3</v>
      </c>
      <c r="Z51" s="1">
        <v>21</v>
      </c>
    </row>
    <row r="52" spans="1:26" x14ac:dyDescent="0.25">
      <c r="A52" s="1">
        <v>2</v>
      </c>
      <c r="B52" s="1" t="s">
        <v>103</v>
      </c>
      <c r="C52" s="1" t="str">
        <f ca="1">IFERROR(__xludf.DUMMYFUNCTION("GOOGLETRANSLATE(B51, ""ne"", ""en"")"),"Madhesh Pradesh")</f>
        <v>Madhesh Pradesh</v>
      </c>
      <c r="D52" s="1">
        <v>32</v>
      </c>
      <c r="E52" s="1" t="s">
        <v>152</v>
      </c>
      <c r="F52" s="1" t="str">
        <f ca="1">IFERROR(__xludf.DUMMYFUNCTION("GOOGLETRANSLATE(E51,""ne"", ""en"")"),"Rautahat")</f>
        <v>Rautahat</v>
      </c>
      <c r="G52" s="1">
        <v>2</v>
      </c>
      <c r="H52" s="1">
        <v>26</v>
      </c>
      <c r="I52" s="1">
        <v>66144</v>
      </c>
      <c r="J52" s="1" t="s">
        <v>155</v>
      </c>
      <c r="K52" s="1" t="str">
        <f ca="1">IFERROR(__xludf.DUMMYFUNCTION("GOOGLETRANSLATE(J51, ""ne"", ""en"")"),"Mo. Firdosh Alam")</f>
        <v>Mo. Firdosh Alam</v>
      </c>
      <c r="L52" s="1" t="s">
        <v>31</v>
      </c>
      <c r="M52" s="1" t="str">
        <f ca="1">IFERROR(__xludf.DUMMYFUNCTION("GOOGLETRANSLATE(L51, ""ne"", ""en"")"),"Nepali Congress")</f>
        <v>Nepali Congress</v>
      </c>
      <c r="N52" s="1">
        <v>29528</v>
      </c>
      <c r="O52" s="1">
        <v>44.64</v>
      </c>
      <c r="P52" s="1" t="s">
        <v>156</v>
      </c>
      <c r="Q52" s="1" t="str">
        <f ca="1">IFERROR(__xludf.DUMMYFUNCTION("GOOGLETRANSLATE(P51,""ne"", ""en"")"),"Kiran Kumar Sah")</f>
        <v>Kiran Kumar Sah</v>
      </c>
      <c r="R52" s="1" t="s">
        <v>91</v>
      </c>
      <c r="S52" s="1" t="str">
        <f ca="1">IFERROR(__xludf.DUMMYFUNCTION("GOOGLETRANSLATE(R51, ""ne"", ""en"")"),"Nepali Communist Party")</f>
        <v>Nepali Communist Party</v>
      </c>
      <c r="T52" s="1">
        <v>18442</v>
      </c>
      <c r="U52" s="1">
        <v>27.88</v>
      </c>
      <c r="V52" s="1">
        <v>11086</v>
      </c>
      <c r="W52" s="1">
        <v>16.760000000000002</v>
      </c>
      <c r="X52" s="1" t="b">
        <v>0</v>
      </c>
      <c r="Y52" s="1">
        <v>0</v>
      </c>
      <c r="Z52" s="1">
        <v>12</v>
      </c>
    </row>
    <row r="53" spans="1:26" x14ac:dyDescent="0.25">
      <c r="A53" s="1">
        <v>2</v>
      </c>
      <c r="B53" s="1" t="s">
        <v>103</v>
      </c>
      <c r="C53" s="1" t="str">
        <f ca="1">IFERROR(__xludf.DUMMYFUNCTION("GOOGLETRANSLATE(B52, ""ne"", ""en"")"),"Madhesh Pradesh")</f>
        <v>Madhesh Pradesh</v>
      </c>
      <c r="D53" s="1">
        <v>32</v>
      </c>
      <c r="E53" s="1" t="s">
        <v>152</v>
      </c>
      <c r="F53" s="1" t="str">
        <f ca="1">IFERROR(__xludf.DUMMYFUNCTION("GOOGLETRANSLATE(E52,""ne"", ""en"")"),"Rautahat")</f>
        <v>Rautahat</v>
      </c>
      <c r="G53" s="1">
        <v>3</v>
      </c>
      <c r="H53" s="1">
        <v>40</v>
      </c>
      <c r="I53" s="1">
        <v>67671</v>
      </c>
      <c r="J53" s="1" t="s">
        <v>157</v>
      </c>
      <c r="K53" s="1" t="str">
        <f ca="1">IFERROR(__xludf.DUMMYFUNCTION("GOOGLETRANSLATE(J52, ""ne"", ""en"")"),"Ravindra Patel")</f>
        <v>Ravindra Patel</v>
      </c>
      <c r="L53" s="1" t="s">
        <v>43</v>
      </c>
      <c r="M53" s="1" t="str">
        <f ca="1">IFERROR(__xludf.DUMMYFUNCTION("GOOGLETRANSLATE(L52, ""ne"", ""en"")"),"National Independence Party")</f>
        <v>National Independence Party</v>
      </c>
      <c r="N53" s="1">
        <v>27318</v>
      </c>
      <c r="O53" s="1">
        <v>40.369999999999997</v>
      </c>
      <c r="P53" s="1" t="s">
        <v>158</v>
      </c>
      <c r="Q53" s="1" t="str">
        <f ca="1">IFERROR(__xludf.DUMMYFUNCTION("GOOGLETRANSLATE(P52,""ne"", ""en"")"),"Govind Chaudhary")</f>
        <v>Govind Chaudhary</v>
      </c>
      <c r="R53" s="1" t="s">
        <v>110</v>
      </c>
      <c r="S53" s="1" t="str">
        <f ca="1">IFERROR(__xludf.DUMMYFUNCTION("GOOGLETRANSLATE(R52, ""ne"", ""en"")"),"Janata Samajwadi Party, Nepal")</f>
        <v>Janata Samajwadi Party, Nepal</v>
      </c>
      <c r="T53" s="1">
        <v>11954</v>
      </c>
      <c r="U53" s="1">
        <v>17.66</v>
      </c>
      <c r="V53" s="1">
        <v>15364</v>
      </c>
      <c r="W53" s="1">
        <v>22.7</v>
      </c>
      <c r="X53" s="1" t="b">
        <v>0</v>
      </c>
      <c r="Y53" s="1">
        <v>3</v>
      </c>
      <c r="Z53" s="1">
        <v>24</v>
      </c>
    </row>
    <row r="54" spans="1:26" x14ac:dyDescent="0.25">
      <c r="A54" s="1">
        <v>2</v>
      </c>
      <c r="B54" s="1" t="s">
        <v>103</v>
      </c>
      <c r="C54" s="1" t="str">
        <f ca="1">IFERROR(__xludf.DUMMYFUNCTION("GOOGLETRANSLATE(B53, ""ne"", ""en"")"),"Madhesh Pradesh")</f>
        <v>Madhesh Pradesh</v>
      </c>
      <c r="D54" s="1">
        <v>32</v>
      </c>
      <c r="E54" s="1" t="s">
        <v>152</v>
      </c>
      <c r="F54" s="1" t="str">
        <f ca="1">IFERROR(__xludf.DUMMYFUNCTION("GOOGLETRANSLATE(E53,""ne"", ""en"")"),"Rautahat")</f>
        <v>Rautahat</v>
      </c>
      <c r="G54" s="1">
        <v>4</v>
      </c>
      <c r="H54" s="1">
        <v>37</v>
      </c>
      <c r="I54" s="1">
        <v>69668</v>
      </c>
      <c r="J54" s="1" t="s">
        <v>159</v>
      </c>
      <c r="K54" s="1" t="str">
        <f ca="1">IFERROR(__xludf.DUMMYFUNCTION("GOOGLETRANSLATE(J53, ""ne"", ""en"")"),"Ganesh Poudel")</f>
        <v>Ganesh Poudel</v>
      </c>
      <c r="L54" s="1" t="s">
        <v>43</v>
      </c>
      <c r="M54" s="1" t="str">
        <f ca="1">IFERROR(__xludf.DUMMYFUNCTION("GOOGLETRANSLATE(L53, ""ne"", ""en"")"),"National Independence Party")</f>
        <v>National Independence Party</v>
      </c>
      <c r="N54" s="1">
        <v>36876</v>
      </c>
      <c r="O54" s="1">
        <v>52.93</v>
      </c>
      <c r="P54" s="1" t="s">
        <v>160</v>
      </c>
      <c r="Q54" s="1" t="str">
        <f ca="1">IFERROR(__xludf.DUMMYFUNCTION("GOOGLETRANSLATE(P53,""ne"", ""en"")"),"Dev Prasad Timalsena")</f>
        <v>Dev Prasad Timalsena</v>
      </c>
      <c r="R54" s="1" t="s">
        <v>31</v>
      </c>
      <c r="S54" s="1" t="str">
        <f ca="1">IFERROR(__xludf.DUMMYFUNCTION("GOOGLETRANSLATE(R53, ""ne"", ""en"")"),"Nepali Congress")</f>
        <v>Nepali Congress</v>
      </c>
      <c r="T54" s="1">
        <v>15865</v>
      </c>
      <c r="U54" s="1">
        <v>22.77</v>
      </c>
      <c r="V54" s="1">
        <v>21011</v>
      </c>
      <c r="W54" s="1">
        <v>30.16</v>
      </c>
      <c r="X54" s="1" t="b">
        <v>0</v>
      </c>
      <c r="Y54" s="1">
        <v>7</v>
      </c>
      <c r="Z54" s="1">
        <v>20</v>
      </c>
    </row>
    <row r="55" spans="1:26" x14ac:dyDescent="0.25">
      <c r="A55" s="1">
        <v>2</v>
      </c>
      <c r="B55" s="1" t="s">
        <v>103</v>
      </c>
      <c r="C55" s="1" t="str">
        <f ca="1">IFERROR(__xludf.DUMMYFUNCTION("GOOGLETRANSLATE(B54, ""ne"", ""en"")"),"Madhesh Pradesh")</f>
        <v>Madhesh Pradesh</v>
      </c>
      <c r="D55" s="1">
        <v>33</v>
      </c>
      <c r="E55" s="1" t="s">
        <v>161</v>
      </c>
      <c r="F55" s="1" t="str">
        <f ca="1">IFERROR(__xludf.DUMMYFUNCTION("GOOGLETRANSLATE(E54,""ne"", ""en"")"),"Twelve")</f>
        <v>Twelve</v>
      </c>
      <c r="G55" s="1">
        <v>1</v>
      </c>
      <c r="H55" s="1">
        <v>20</v>
      </c>
      <c r="I55" s="1">
        <v>75285</v>
      </c>
      <c r="J55" s="1" t="s">
        <v>162</v>
      </c>
      <c r="K55" s="1" t="str">
        <f ca="1">IFERROR(__xludf.DUMMYFUNCTION("GOOGLETRANSLATE(J54, ""ne"", ""en"")"),"Ganesh Dhimal")</f>
        <v>Ganesh Dhimal</v>
      </c>
      <c r="L55" s="1" t="s">
        <v>43</v>
      </c>
      <c r="M55" s="1" t="str">
        <f ca="1">IFERROR(__xludf.DUMMYFUNCTION("GOOGLETRANSLATE(L54, ""ne"", ""en"")"),"National Independence Party")</f>
        <v>National Independence Party</v>
      </c>
      <c r="N55" s="1">
        <v>39998</v>
      </c>
      <c r="O55" s="1">
        <v>53.13</v>
      </c>
      <c r="P55" s="1" t="s">
        <v>163</v>
      </c>
      <c r="Q55" s="1" t="str">
        <f ca="1">IFERROR(__xludf.DUMMYFUNCTION("GOOGLETRANSLATE(P54,""ne"", ""en"")"),"Shambhu Bahadur Budhathoki")</f>
        <v>Shambhu Bahadur Budhathoki</v>
      </c>
      <c r="R55" s="1" t="s">
        <v>31</v>
      </c>
      <c r="S55" s="1" t="str">
        <f ca="1">IFERROR(__xludf.DUMMYFUNCTION("GOOGLETRANSLATE(R54, ""ne"", ""en"")"),"Nepali Congress")</f>
        <v>Nepali Congress</v>
      </c>
      <c r="T55" s="1">
        <v>14223</v>
      </c>
      <c r="U55" s="1">
        <v>18.89</v>
      </c>
      <c r="V55" s="1">
        <v>25775</v>
      </c>
      <c r="W55" s="1">
        <v>34.24</v>
      </c>
      <c r="X55" s="1" t="b">
        <v>0</v>
      </c>
      <c r="Y55" s="1">
        <v>3</v>
      </c>
      <c r="Z55" s="1">
        <v>7</v>
      </c>
    </row>
    <row r="56" spans="1:26" x14ac:dyDescent="0.25">
      <c r="A56" s="1">
        <v>2</v>
      </c>
      <c r="B56" s="1" t="s">
        <v>103</v>
      </c>
      <c r="C56" s="1" t="str">
        <f ca="1">IFERROR(__xludf.DUMMYFUNCTION("GOOGLETRANSLATE(B55, ""ne"", ""en"")"),"Madhesh Pradesh")</f>
        <v>Madhesh Pradesh</v>
      </c>
      <c r="D56" s="1">
        <v>33</v>
      </c>
      <c r="E56" s="1" t="s">
        <v>161</v>
      </c>
      <c r="F56" s="1" t="str">
        <f ca="1">IFERROR(__xludf.DUMMYFUNCTION("GOOGLETRANSLATE(E55,""ne"", ""en"")"),"Twelve")</f>
        <v>Twelve</v>
      </c>
      <c r="G56" s="1">
        <v>2</v>
      </c>
      <c r="H56" s="1">
        <v>29</v>
      </c>
      <c r="I56" s="1">
        <v>72761</v>
      </c>
      <c r="J56" s="1" t="s">
        <v>164</v>
      </c>
      <c r="K56" s="1" t="str">
        <f ca="1">IFERROR(__xludf.DUMMYFUNCTION("GOOGLETRANSLATE(J55, ""ne"", ""en"")"),"Chandan Kumar Singh")</f>
        <v>Chandan Kumar Singh</v>
      </c>
      <c r="L56" s="1" t="s">
        <v>43</v>
      </c>
      <c r="M56" s="1" t="str">
        <f ca="1">IFERROR(__xludf.DUMMYFUNCTION("GOOGLETRANSLATE(L55, ""ne"", ""en"")"),"National Independence Party")</f>
        <v>National Independence Party</v>
      </c>
      <c r="N56" s="1">
        <v>35590</v>
      </c>
      <c r="O56" s="1">
        <v>48.91</v>
      </c>
      <c r="P56" s="1" t="s">
        <v>165</v>
      </c>
      <c r="Q56" s="1" t="str">
        <f ca="1">IFERROR(__xludf.DUMMYFUNCTION("GOOGLETRANSLATE(P55,""ne"", ""en"")"),"Ramkishore Prasad Yadav")</f>
        <v>Ramkishore Prasad Yadav</v>
      </c>
      <c r="R56" s="1" t="s">
        <v>110</v>
      </c>
      <c r="S56" s="1" t="str">
        <f ca="1">IFERROR(__xludf.DUMMYFUNCTION("GOOGLETRANSLATE(R55, ""ne"", ""en"")"),"Janata Samajwadi Party, Nepal")</f>
        <v>Janata Samajwadi Party, Nepal</v>
      </c>
      <c r="T56" s="1">
        <v>14196</v>
      </c>
      <c r="U56" s="1">
        <v>19.510000000000002</v>
      </c>
      <c r="V56" s="1">
        <v>21394</v>
      </c>
      <c r="W56" s="1">
        <v>29.4</v>
      </c>
      <c r="X56" s="1" t="b">
        <v>0</v>
      </c>
      <c r="Y56" s="1">
        <v>3</v>
      </c>
      <c r="Z56" s="1">
        <v>13</v>
      </c>
    </row>
    <row r="57" spans="1:26" x14ac:dyDescent="0.25">
      <c r="A57" s="1">
        <v>2</v>
      </c>
      <c r="B57" s="1" t="s">
        <v>103</v>
      </c>
      <c r="C57" s="1" t="str">
        <f ca="1">IFERROR(__xludf.DUMMYFUNCTION("GOOGLETRANSLATE(B56, ""ne"", ""en"")"),"Madhesh Pradesh")</f>
        <v>Madhesh Pradesh</v>
      </c>
      <c r="D57" s="1">
        <v>33</v>
      </c>
      <c r="E57" s="1" t="s">
        <v>161</v>
      </c>
      <c r="F57" s="1" t="str">
        <f ca="1">IFERROR(__xludf.DUMMYFUNCTION("GOOGLETRANSLATE(E56,""ne"", ""en"")"),"Twelve")</f>
        <v>Twelve</v>
      </c>
      <c r="G57" s="1">
        <v>3</v>
      </c>
      <c r="H57" s="1">
        <v>24</v>
      </c>
      <c r="I57" s="1">
        <v>71205</v>
      </c>
      <c r="J57" s="1" t="s">
        <v>166</v>
      </c>
      <c r="K57" s="1" t="str">
        <f ca="1">IFERROR(__xludf.DUMMYFUNCTION("GOOGLETRANSLATE(J56, ""ne"", ""en"")"),"Arvind Shah")</f>
        <v>Arvind Shah</v>
      </c>
      <c r="L57" s="1" t="s">
        <v>43</v>
      </c>
      <c r="M57" s="1" t="str">
        <f ca="1">IFERROR(__xludf.DUMMYFUNCTION("GOOGLETRANSLATE(L56, ""ne"", ""en"")"),"National Independence Party")</f>
        <v>National Independence Party</v>
      </c>
      <c r="N57" s="1">
        <v>40697</v>
      </c>
      <c r="O57" s="1">
        <v>57.15</v>
      </c>
      <c r="P57" s="1" t="s">
        <v>167</v>
      </c>
      <c r="Q57" s="1" t="str">
        <f ca="1">IFERROR(__xludf.DUMMYFUNCTION("GOOGLETRANSLATE(P56,""ne"", ""en"")"),"Farmullah Mansoor")</f>
        <v>Farmullah Mansoor</v>
      </c>
      <c r="R57" s="1" t="s">
        <v>31</v>
      </c>
      <c r="S57" s="1" t="str">
        <f ca="1">IFERROR(__xludf.DUMMYFUNCTION("GOOGLETRANSLATE(R56, ""ne"", ""en"")"),"Nepali Congress")</f>
        <v>Nepali Congress</v>
      </c>
      <c r="T57" s="1">
        <v>10052</v>
      </c>
      <c r="U57" s="1">
        <v>14.12</v>
      </c>
      <c r="V57" s="1">
        <v>30645</v>
      </c>
      <c r="W57" s="1">
        <v>43.04</v>
      </c>
      <c r="X57" s="1" t="b">
        <v>0</v>
      </c>
      <c r="Y57" s="1">
        <v>5</v>
      </c>
      <c r="Z57" s="1">
        <v>8</v>
      </c>
    </row>
    <row r="58" spans="1:26" x14ac:dyDescent="0.25">
      <c r="A58" s="1">
        <v>2</v>
      </c>
      <c r="B58" s="1" t="s">
        <v>103</v>
      </c>
      <c r="C58" s="1" t="str">
        <f ca="1">IFERROR(__xludf.DUMMYFUNCTION("GOOGLETRANSLATE(B57, ""ne"", ""en"")"),"Madhesh Pradesh")</f>
        <v>Madhesh Pradesh</v>
      </c>
      <c r="D58" s="1">
        <v>33</v>
      </c>
      <c r="E58" s="1" t="s">
        <v>161</v>
      </c>
      <c r="F58" s="1" t="str">
        <f ca="1">IFERROR(__xludf.DUMMYFUNCTION("GOOGLETRANSLATE(E57,""ne"", ""en"")"),"Twelve")</f>
        <v>Twelve</v>
      </c>
      <c r="G58" s="1">
        <v>4</v>
      </c>
      <c r="H58" s="1">
        <v>37</v>
      </c>
      <c r="I58" s="1">
        <v>74637</v>
      </c>
      <c r="J58" s="1" t="s">
        <v>168</v>
      </c>
      <c r="K58" s="1" t="str">
        <f ca="1">IFERROR(__xludf.DUMMYFUNCTION("GOOGLETRANSLATE(J57, ""ne"", ""en"")"),"Rahwar Ansari")</f>
        <v>Rahwar Ansari</v>
      </c>
      <c r="L58" s="1" t="s">
        <v>43</v>
      </c>
      <c r="M58" s="1" t="str">
        <f ca="1">IFERROR(__xludf.DUMMYFUNCTION("GOOGLETRANSLATE(L57, ""ne"", ""en"")"),"National Independence Party")</f>
        <v>National Independence Party</v>
      </c>
      <c r="N58" s="1">
        <v>41200</v>
      </c>
      <c r="O58" s="1">
        <v>55.2</v>
      </c>
      <c r="P58" s="1" t="s">
        <v>169</v>
      </c>
      <c r="Q58" s="1" t="str">
        <f ca="1">IFERROR(__xludf.DUMMYFUNCTION("GOOGLETRANSLATE(P57,""ne"", ""en"")"),"Krishna Kumar Shrestha")</f>
        <v>Krishna Kumar Shrestha</v>
      </c>
      <c r="R58" s="1" t="s">
        <v>29</v>
      </c>
      <c r="S58" s="1" t="str">
        <f ca="1">IFERROR(__xludf.DUMMYFUNCTION("GOOGLETRANSLATE(R57, ""ne"", ""en"")"),"Communist Party of Nepal (Unified Marxist-Leninist)")</f>
        <v>Communist Party of Nepal (Unified Marxist-Leninist)</v>
      </c>
      <c r="T58" s="1">
        <v>11639</v>
      </c>
      <c r="U58" s="1">
        <v>15.59</v>
      </c>
      <c r="V58" s="1">
        <v>29561</v>
      </c>
      <c r="W58" s="1">
        <v>39.61</v>
      </c>
      <c r="X58" s="1" t="b">
        <v>0</v>
      </c>
      <c r="Y58" s="1">
        <v>5</v>
      </c>
      <c r="Z58" s="1">
        <v>19</v>
      </c>
    </row>
    <row r="59" spans="1:26" x14ac:dyDescent="0.25">
      <c r="A59" s="1">
        <v>2</v>
      </c>
      <c r="B59" s="1" t="s">
        <v>103</v>
      </c>
      <c r="C59" s="1" t="str">
        <f ca="1">IFERROR(__xludf.DUMMYFUNCTION("GOOGLETRANSLATE(B58, ""ne"", ""en"")"),"Madhesh Pradesh")</f>
        <v>Madhesh Pradesh</v>
      </c>
      <c r="D59" s="1">
        <v>34</v>
      </c>
      <c r="E59" s="1" t="s">
        <v>170</v>
      </c>
      <c r="F59" s="1" t="str">
        <f ca="1">IFERROR(__xludf.DUMMYFUNCTION("GOOGLETRANSLATE(E58,""ne"", ""en"")"),"Parsa")</f>
        <v>Parsa</v>
      </c>
      <c r="G59" s="1">
        <v>1</v>
      </c>
      <c r="H59" s="1">
        <v>30</v>
      </c>
      <c r="I59" s="1">
        <v>57225</v>
      </c>
      <c r="J59" s="1" t="s">
        <v>171</v>
      </c>
      <c r="K59" s="1" t="str">
        <f ca="1">IFERROR(__xludf.DUMMYFUNCTION("GOOGLETRANSLATE(J58, ""ne"", ""en"")"),"Buddhi Prasad Pant")</f>
        <v>Buddhi Prasad Pant</v>
      </c>
      <c r="L59" s="1" t="s">
        <v>43</v>
      </c>
      <c r="M59" s="1" t="str">
        <f ca="1">IFERROR(__xludf.DUMMYFUNCTION("GOOGLETRANSLATE(L58, ""ne"", ""en"")"),"National Independence Party")</f>
        <v>National Independence Party</v>
      </c>
      <c r="N59" s="1">
        <v>27274</v>
      </c>
      <c r="O59" s="1">
        <v>47.66</v>
      </c>
      <c r="P59" s="1" t="s">
        <v>172</v>
      </c>
      <c r="Q59" s="1" t="str">
        <f ca="1">IFERROR(__xludf.DUMMYFUNCTION("GOOGLETRANSLATE(P58,""ne"", ""en"")"),"Pradeep Yadav")</f>
        <v>Pradeep Yadav</v>
      </c>
      <c r="R59" s="1" t="s">
        <v>29</v>
      </c>
      <c r="S59" s="1" t="str">
        <f ca="1">IFERROR(__xludf.DUMMYFUNCTION("GOOGLETRANSLATE(R58, ""ne"", ""en"")"),"Communist Party of Nepal (Unified Marxist-Leninist)")</f>
        <v>Communist Party of Nepal (Unified Marxist-Leninist)</v>
      </c>
      <c r="T59" s="1">
        <v>13030</v>
      </c>
      <c r="U59" s="1">
        <v>22.77</v>
      </c>
      <c r="V59" s="1">
        <v>14244</v>
      </c>
      <c r="W59" s="1">
        <v>24.89</v>
      </c>
      <c r="X59" s="1" t="b">
        <v>0</v>
      </c>
      <c r="Y59" s="1">
        <v>1</v>
      </c>
      <c r="Z59" s="1">
        <v>12</v>
      </c>
    </row>
    <row r="60" spans="1:26" x14ac:dyDescent="0.25">
      <c r="A60" s="1">
        <v>2</v>
      </c>
      <c r="B60" s="1" t="s">
        <v>103</v>
      </c>
      <c r="C60" s="1" t="str">
        <f ca="1">IFERROR(__xludf.DUMMYFUNCTION("GOOGLETRANSLATE(B59, ""ne"", ""en"")"),"Madhesh Pradesh")</f>
        <v>Madhesh Pradesh</v>
      </c>
      <c r="D60" s="1">
        <v>34</v>
      </c>
      <c r="E60" s="1" t="s">
        <v>170</v>
      </c>
      <c r="F60" s="1" t="str">
        <f ca="1">IFERROR(__xludf.DUMMYFUNCTION("GOOGLETRANSLATE(E59,""ne"", ""en"")"),"Parsa")</f>
        <v>Parsa</v>
      </c>
      <c r="G60" s="1">
        <v>2</v>
      </c>
      <c r="H60" s="1">
        <v>31</v>
      </c>
      <c r="I60" s="1">
        <v>61310</v>
      </c>
      <c r="J60" s="1" t="s">
        <v>173</v>
      </c>
      <c r="K60" s="1" t="str">
        <f ca="1">IFERROR(__xludf.DUMMYFUNCTION("GOOGLETRANSLATE(J59, ""ne"", ""en"")"),"Sushil Kumar Kanu")</f>
        <v>Sushil Kumar Kanu</v>
      </c>
      <c r="L60" s="1" t="s">
        <v>43</v>
      </c>
      <c r="M60" s="1" t="str">
        <f ca="1">IFERROR(__xludf.DUMMYFUNCTION("GOOGLETRANSLATE(L59, ""ne"", ""en"")"),"National Independence Party")</f>
        <v>National Independence Party</v>
      </c>
      <c r="N60" s="1">
        <v>30740</v>
      </c>
      <c r="O60" s="1">
        <v>50.14</v>
      </c>
      <c r="P60" s="1" t="s">
        <v>174</v>
      </c>
      <c r="Q60" s="1" t="str">
        <f ca="1">IFERROR(__xludf.DUMMYFUNCTION("GOOGLETRANSLATE(P59,""ne"", ""en"")"),"Ajay Kumar Chaurasia")</f>
        <v>Ajay Kumar Chaurasia</v>
      </c>
      <c r="R60" s="1" t="s">
        <v>31</v>
      </c>
      <c r="S60" s="1" t="str">
        <f ca="1">IFERROR(__xludf.DUMMYFUNCTION("GOOGLETRANSLATE(R59, ""ne"", ""en"")"),"Nepali Congress")</f>
        <v>Nepali Congress</v>
      </c>
      <c r="T60" s="1">
        <v>11890</v>
      </c>
      <c r="U60" s="1">
        <v>19.39</v>
      </c>
      <c r="V60" s="1">
        <v>18850</v>
      </c>
      <c r="W60" s="1">
        <v>30.75</v>
      </c>
      <c r="X60" s="1" t="b">
        <v>0</v>
      </c>
      <c r="Y60" s="1">
        <v>4</v>
      </c>
      <c r="Z60" s="1">
        <v>14</v>
      </c>
    </row>
    <row r="61" spans="1:26" x14ac:dyDescent="0.25">
      <c r="A61" s="1">
        <v>2</v>
      </c>
      <c r="B61" s="1" t="s">
        <v>103</v>
      </c>
      <c r="C61" s="1" t="str">
        <f ca="1">IFERROR(__xludf.DUMMYFUNCTION("GOOGLETRANSLATE(B60, ""ne"", ""en"")"),"Madhesh Pradesh")</f>
        <v>Madhesh Pradesh</v>
      </c>
      <c r="D61" s="1">
        <v>34</v>
      </c>
      <c r="E61" s="1" t="s">
        <v>170</v>
      </c>
      <c r="F61" s="1" t="str">
        <f ca="1">IFERROR(__xludf.DUMMYFUNCTION("GOOGLETRANSLATE(E60,""ne"", ""en"")"),"Parsa")</f>
        <v>Parsa</v>
      </c>
      <c r="G61" s="1">
        <v>3</v>
      </c>
      <c r="H61" s="1">
        <v>23</v>
      </c>
      <c r="I61" s="1">
        <v>62383</v>
      </c>
      <c r="J61" s="1" t="s">
        <v>175</v>
      </c>
      <c r="K61" s="1" t="str">
        <f ca="1">IFERROR(__xludf.DUMMYFUNCTION("GOOGLETRANSLATE(J60, ""ne"", ""en"")"),"Ramakant Prasad Chaurasia")</f>
        <v>Ramakant Prasad Chaurasia</v>
      </c>
      <c r="L61" s="1" t="s">
        <v>43</v>
      </c>
      <c r="M61" s="1" t="str">
        <f ca="1">IFERROR(__xludf.DUMMYFUNCTION("GOOGLETRANSLATE(L60, ""ne"", ""en"")"),"National Independence Party")</f>
        <v>National Independence Party</v>
      </c>
      <c r="N61" s="1">
        <v>29679</v>
      </c>
      <c r="O61" s="1">
        <v>47.58</v>
      </c>
      <c r="P61" s="1" t="s">
        <v>176</v>
      </c>
      <c r="Q61" s="1" t="str">
        <f ca="1">IFERROR(__xludf.DUMMYFUNCTION("GOOGLETRANSLATE(P60,""ne"", ""en"")"),"Surendra Prasad Chaudhary")</f>
        <v>Surendra Prasad Chaudhary</v>
      </c>
      <c r="R61" s="1" t="s">
        <v>31</v>
      </c>
      <c r="S61" s="1" t="str">
        <f ca="1">IFERROR(__xludf.DUMMYFUNCTION("GOOGLETRANSLATE(R60, ""ne"", ""en"")"),"Nepali Congress")</f>
        <v>Nepali Congress</v>
      </c>
      <c r="T61" s="1">
        <v>16366</v>
      </c>
      <c r="U61" s="1">
        <v>26.23</v>
      </c>
      <c r="V61" s="1">
        <v>13313</v>
      </c>
      <c r="W61" s="1">
        <v>21.34</v>
      </c>
      <c r="X61" s="1" t="b">
        <v>0</v>
      </c>
      <c r="Y61" s="1">
        <v>1</v>
      </c>
      <c r="Z61" s="1">
        <v>9</v>
      </c>
    </row>
    <row r="62" spans="1:26" x14ac:dyDescent="0.25">
      <c r="A62" s="1">
        <v>2</v>
      </c>
      <c r="B62" s="1" t="s">
        <v>103</v>
      </c>
      <c r="C62" s="1" t="str">
        <f ca="1">IFERROR(__xludf.DUMMYFUNCTION("GOOGLETRANSLATE(B61, ""ne"", ""en"")"),"Madhesh Pradesh")</f>
        <v>Madhesh Pradesh</v>
      </c>
      <c r="D62" s="1">
        <v>34</v>
      </c>
      <c r="E62" s="1" t="s">
        <v>170</v>
      </c>
      <c r="F62" s="1" t="str">
        <f ca="1">IFERROR(__xludf.DUMMYFUNCTION("GOOGLETRANSLATE(E61,""ne"", ""en"")"),"Parsa")</f>
        <v>Parsa</v>
      </c>
      <c r="G62" s="1">
        <v>4</v>
      </c>
      <c r="H62" s="1">
        <v>23</v>
      </c>
      <c r="I62" s="1">
        <v>61848</v>
      </c>
      <c r="J62" s="1" t="s">
        <v>177</v>
      </c>
      <c r="K62" s="1" t="str">
        <f ca="1">IFERROR(__xludf.DUMMYFUNCTION("GOOGLETRANSLATE(J61, ""ne"", ""en"")"),"Tek Bahadur Shakya")</f>
        <v>Tek Bahadur Shakya</v>
      </c>
      <c r="L62" s="1" t="s">
        <v>43</v>
      </c>
      <c r="M62" s="1" t="str">
        <f ca="1">IFERROR(__xludf.DUMMYFUNCTION("GOOGLETRANSLATE(L61, ""ne"", ""en"")"),"National Independence Party")</f>
        <v>National Independence Party</v>
      </c>
      <c r="N62" s="1">
        <v>28006</v>
      </c>
      <c r="O62" s="1">
        <v>45.28</v>
      </c>
      <c r="P62" s="1" t="s">
        <v>178</v>
      </c>
      <c r="Q62" s="1" t="str">
        <f ca="1">IFERROR(__xludf.DUMMYFUNCTION("GOOGLETRANSLATE(P61,""ne"", ""en"")"),"Ramesh Rijal")</f>
        <v>Ramesh Rijal</v>
      </c>
      <c r="R62" s="1" t="s">
        <v>31</v>
      </c>
      <c r="S62" s="1" t="str">
        <f ca="1">IFERROR(__xludf.DUMMYFUNCTION("GOOGLETRANSLATE(R61, ""ne"", ""en"")"),"Nepali Congress")</f>
        <v>Nepali Congress</v>
      </c>
      <c r="T62" s="1">
        <v>12534</v>
      </c>
      <c r="U62" s="1">
        <v>20.27</v>
      </c>
      <c r="V62" s="1">
        <v>15472</v>
      </c>
      <c r="W62" s="1">
        <v>25.02</v>
      </c>
      <c r="X62" s="1" t="b">
        <v>0</v>
      </c>
      <c r="Y62" s="1">
        <v>6</v>
      </c>
      <c r="Z62" s="1">
        <v>11</v>
      </c>
    </row>
    <row r="63" spans="1:26" x14ac:dyDescent="0.25">
      <c r="A63" s="1">
        <v>3</v>
      </c>
      <c r="B63" s="1" t="s">
        <v>179</v>
      </c>
      <c r="C63" s="1" t="str">
        <f ca="1">IFERROR(__xludf.DUMMYFUNCTION("GOOGLETRANSLATE(B62, ""ne"", ""en"")"),"Bagmati Province")</f>
        <v>Bagmati Province</v>
      </c>
      <c r="D63" s="1">
        <v>17</v>
      </c>
      <c r="E63" s="1" t="s">
        <v>180</v>
      </c>
      <c r="F63" s="1" t="str">
        <f ca="1">IFERROR(__xludf.DUMMYFUNCTION("GOOGLETRANSLATE(E62,""ne"", ""en"")"),"Dolakha")</f>
        <v>Dolakha</v>
      </c>
      <c r="G63" s="1">
        <v>1</v>
      </c>
      <c r="H63" s="1">
        <v>33</v>
      </c>
      <c r="I63" s="1">
        <v>79815</v>
      </c>
      <c r="J63" s="1" t="s">
        <v>181</v>
      </c>
      <c r="K63" s="1" t="str">
        <f ca="1">IFERROR(__xludf.DUMMYFUNCTION("GOOGLETRANSLATE(J62, ""ne"", ""en"")"),"Jagdish Kharel")</f>
        <v>Jagdish Kharel</v>
      </c>
      <c r="L63" s="1" t="s">
        <v>43</v>
      </c>
      <c r="M63" s="1" t="str">
        <f ca="1">IFERROR(__xludf.DUMMYFUNCTION("GOOGLETRANSLATE(L62, ""ne"", ""en"")"),"National Independence Party")</f>
        <v>National Independence Party</v>
      </c>
      <c r="N63" s="1">
        <v>32376</v>
      </c>
      <c r="O63" s="1">
        <v>40.56</v>
      </c>
      <c r="P63" s="1" t="s">
        <v>182</v>
      </c>
      <c r="Q63" s="1" t="str">
        <f ca="1">IFERROR(__xludf.DUMMYFUNCTION("GOOGLETRANSLATE(P62,""ne"", ""en"")"),"Parbat Gurung")</f>
        <v>Parbat Gurung</v>
      </c>
      <c r="R63" s="1" t="s">
        <v>29</v>
      </c>
      <c r="S63" s="1" t="str">
        <f ca="1">IFERROR(__xludf.DUMMYFUNCTION("GOOGLETRANSLATE(R62, ""ne"", ""en"")"),"Communist Party of Nepal (Unified Marxist-Leninist)")</f>
        <v>Communist Party of Nepal (Unified Marxist-Leninist)</v>
      </c>
      <c r="T63" s="1">
        <v>17449</v>
      </c>
      <c r="U63" s="1">
        <v>21.86</v>
      </c>
      <c r="V63" s="1">
        <v>14927</v>
      </c>
      <c r="W63" s="1">
        <v>18.7</v>
      </c>
      <c r="X63" s="1" t="b">
        <v>0</v>
      </c>
      <c r="Y63" s="1">
        <v>4</v>
      </c>
      <c r="Z63" s="1">
        <v>19</v>
      </c>
    </row>
    <row r="64" spans="1:26" x14ac:dyDescent="0.25">
      <c r="A64" s="1">
        <v>3</v>
      </c>
      <c r="B64" s="1" t="s">
        <v>179</v>
      </c>
      <c r="C64" s="1" t="str">
        <f ca="1">IFERROR(__xludf.DUMMYFUNCTION("GOOGLETRANSLATE(B63, ""ne"", ""en"")"),"Bagmati Province")</f>
        <v>Bagmati Province</v>
      </c>
      <c r="D64" s="1">
        <v>18</v>
      </c>
      <c r="E64" s="1" t="s">
        <v>183</v>
      </c>
      <c r="F64" s="1" t="str">
        <f ca="1">IFERROR(__xludf.DUMMYFUNCTION("GOOGLETRANSLATE(E63,""ne"", ""en"")"),"Ramechhap")</f>
        <v>Ramechhap</v>
      </c>
      <c r="G64" s="1">
        <v>1</v>
      </c>
      <c r="H64" s="1">
        <v>17</v>
      </c>
      <c r="I64" s="1">
        <v>81994</v>
      </c>
      <c r="J64" s="1" t="s">
        <v>184</v>
      </c>
      <c r="K64" s="1" t="str">
        <f ca="1">IFERROR(__xludf.DUMMYFUNCTION("GOOGLETRANSLATE(J63, ""ne"", ""en"")"),"Krishna Hari Budhathoki")</f>
        <v>Krishna Hari Budhathoki</v>
      </c>
      <c r="L64" s="1" t="s">
        <v>43</v>
      </c>
      <c r="M64" s="1" t="str">
        <f ca="1">IFERROR(__xludf.DUMMYFUNCTION("GOOGLETRANSLATE(L63, ""ne"", ""en"")"),"National Independence Party")</f>
        <v>National Independence Party</v>
      </c>
      <c r="N64" s="1">
        <v>24808</v>
      </c>
      <c r="O64" s="1">
        <v>30.26</v>
      </c>
      <c r="P64" s="1" t="s">
        <v>185</v>
      </c>
      <c r="Q64" s="1" t="str">
        <f ca="1">IFERROR(__xludf.DUMMYFUNCTION("GOOGLETRANSLATE(P63,""ne"", ""en"")"),"Madhav Prasad Dhungel")</f>
        <v>Madhav Prasad Dhungel</v>
      </c>
      <c r="R64" s="1" t="s">
        <v>29</v>
      </c>
      <c r="S64" s="1" t="str">
        <f ca="1">IFERROR(__xludf.DUMMYFUNCTION("GOOGLETRANSLATE(R63, ""ne"", ""en"")"),"Communist Party of Nepal (Unified Marxist-Leninist)")</f>
        <v>Communist Party of Nepal (Unified Marxist-Leninist)</v>
      </c>
      <c r="T64" s="1">
        <v>17609</v>
      </c>
      <c r="U64" s="1">
        <v>21.48</v>
      </c>
      <c r="V64" s="1">
        <v>7199</v>
      </c>
      <c r="W64" s="1">
        <v>8.7799999999999994</v>
      </c>
      <c r="X64" s="1" t="b">
        <v>0</v>
      </c>
      <c r="Y64" s="1">
        <v>1</v>
      </c>
      <c r="Z64" s="1">
        <v>3</v>
      </c>
    </row>
    <row r="65" spans="1:26" x14ac:dyDescent="0.25">
      <c r="A65" s="1">
        <v>3</v>
      </c>
      <c r="B65" s="1" t="s">
        <v>179</v>
      </c>
      <c r="C65" s="1" t="str">
        <f ca="1">IFERROR(__xludf.DUMMYFUNCTION("GOOGLETRANSLATE(B64, ""ne"", ""en"")"),"Bagmati Province")</f>
        <v>Bagmati Province</v>
      </c>
      <c r="D65" s="1">
        <v>19</v>
      </c>
      <c r="E65" s="1" t="s">
        <v>186</v>
      </c>
      <c r="F65" s="1" t="str">
        <f ca="1">IFERROR(__xludf.DUMMYFUNCTION("GOOGLETRANSLATE(E64,""ne"", ""en"")"),"Sindhuli")</f>
        <v>Sindhuli</v>
      </c>
      <c r="G65" s="1">
        <v>1</v>
      </c>
      <c r="H65" s="1">
        <v>12</v>
      </c>
      <c r="I65" s="1">
        <v>57280</v>
      </c>
      <c r="J65" s="1" t="s">
        <v>187</v>
      </c>
      <c r="K65" s="1" t="str">
        <f ca="1">IFERROR(__xludf.DUMMYFUNCTION("GOOGLETRANSLATE(J64, ""ne"", ""en"")"),"Dhanendra Karki")</f>
        <v>Dhanendra Karki</v>
      </c>
      <c r="L65" s="1" t="s">
        <v>43</v>
      </c>
      <c r="M65" s="1" t="str">
        <f ca="1">IFERROR(__xludf.DUMMYFUNCTION("GOOGLETRANSLATE(L64, ""ne"", ""en"")"),"National Independence Party")</f>
        <v>National Independence Party</v>
      </c>
      <c r="N65" s="1">
        <v>16659</v>
      </c>
      <c r="O65" s="1">
        <v>29.08</v>
      </c>
      <c r="P65" s="1" t="s">
        <v>188</v>
      </c>
      <c r="Q65" s="1" t="str">
        <f ca="1">IFERROR(__xludf.DUMMYFUNCTION("GOOGLETRANSLATE(P64,""ne"", ""en"")"),"Pradeep Kumar Katuwal Chhetri (KC)")</f>
        <v>Pradeep Kumar Katuwal Chhetri (KC)</v>
      </c>
      <c r="R65" s="1" t="s">
        <v>29</v>
      </c>
      <c r="S65" s="1" t="str">
        <f ca="1">IFERROR(__xludf.DUMMYFUNCTION("GOOGLETRANSLATE(R64, ""ne"", ""en"")"),"Communist Party of Nepal (Unified Marxist-Leninist)")</f>
        <v>Communist Party of Nepal (Unified Marxist-Leninist)</v>
      </c>
      <c r="T65" s="1">
        <v>15875</v>
      </c>
      <c r="U65" s="1">
        <v>27.71</v>
      </c>
      <c r="V65" s="1">
        <v>784</v>
      </c>
      <c r="W65" s="1">
        <v>1.37</v>
      </c>
      <c r="X65" s="1" t="b">
        <v>1</v>
      </c>
      <c r="Y65" s="1">
        <v>0</v>
      </c>
      <c r="Z65" s="1">
        <v>1</v>
      </c>
    </row>
    <row r="66" spans="1:26" x14ac:dyDescent="0.25">
      <c r="A66" s="1">
        <v>3</v>
      </c>
      <c r="B66" s="1" t="s">
        <v>179</v>
      </c>
      <c r="C66" s="1" t="str">
        <f ca="1">IFERROR(__xludf.DUMMYFUNCTION("GOOGLETRANSLATE(B65, ""ne"", ""en"")"),"Bagmati Province")</f>
        <v>Bagmati Province</v>
      </c>
      <c r="D66" s="1">
        <v>19</v>
      </c>
      <c r="E66" s="1" t="s">
        <v>186</v>
      </c>
      <c r="F66" s="1" t="str">
        <f ca="1">IFERROR(__xludf.DUMMYFUNCTION("GOOGLETRANSLATE(E65,""ne"", ""en"")"),"Sindhuli")</f>
        <v>Sindhuli</v>
      </c>
      <c r="G66" s="1">
        <v>2</v>
      </c>
      <c r="H66" s="1">
        <v>16</v>
      </c>
      <c r="I66" s="1">
        <v>53661</v>
      </c>
      <c r="J66" s="1" t="s">
        <v>189</v>
      </c>
      <c r="K66" s="1" t="str">
        <f ca="1">IFERROR(__xludf.DUMMYFUNCTION("GOOGLETRANSLATE(J65, ""ne"", ""en"")"),"Ashish Gajurel")</f>
        <v>Ashish Gajurel</v>
      </c>
      <c r="L66" s="1" t="s">
        <v>43</v>
      </c>
      <c r="M66" s="1" t="str">
        <f ca="1">IFERROR(__xludf.DUMMYFUNCTION("GOOGLETRANSLATE(L65, ""ne"", ""en"")"),"National Independence Party")</f>
        <v>National Independence Party</v>
      </c>
      <c r="N66" s="1">
        <v>17940</v>
      </c>
      <c r="O66" s="1">
        <v>33.43</v>
      </c>
      <c r="P66" s="1" t="s">
        <v>190</v>
      </c>
      <c r="Q66" s="1" t="str">
        <f ca="1">IFERROR(__xludf.DUMMYFUNCTION("GOOGLETRANSLATE(P65,""ne"", ""en"")"),"Lekh Nath Dahal")</f>
        <v>Lekh Nath Dahal</v>
      </c>
      <c r="R66" s="1" t="s">
        <v>91</v>
      </c>
      <c r="S66" s="1" t="str">
        <f ca="1">IFERROR(__xludf.DUMMYFUNCTION("GOOGLETRANSLATE(R65, ""ne"", ""en"")"),"Nepali Communist Party")</f>
        <v>Nepali Communist Party</v>
      </c>
      <c r="T66" s="1">
        <v>14780</v>
      </c>
      <c r="U66" s="1">
        <v>27.54</v>
      </c>
      <c r="V66" s="1">
        <v>3160</v>
      </c>
      <c r="W66" s="1">
        <v>5.89</v>
      </c>
      <c r="X66" s="1" t="b">
        <v>0</v>
      </c>
      <c r="Y66" s="1">
        <v>2</v>
      </c>
      <c r="Z66" s="1">
        <v>5</v>
      </c>
    </row>
    <row r="67" spans="1:26" x14ac:dyDescent="0.25">
      <c r="A67" s="1">
        <v>3</v>
      </c>
      <c r="B67" s="1" t="s">
        <v>179</v>
      </c>
      <c r="C67" s="1" t="str">
        <f ca="1">IFERROR(__xludf.DUMMYFUNCTION("GOOGLETRANSLATE(B66, ""ne"", ""en"")"),"Bagmati Province")</f>
        <v>Bagmati Province</v>
      </c>
      <c r="D67" s="1">
        <v>23</v>
      </c>
      <c r="E67" s="1" t="s">
        <v>191</v>
      </c>
      <c r="F67" s="1" t="str">
        <f ca="1">IFERROR(__xludf.DUMMYFUNCTION("GOOGLETRANSLATE(E66,""ne"", ""en"")"),"Rasuwa")</f>
        <v>Rasuwa</v>
      </c>
      <c r="G67" s="1">
        <v>1</v>
      </c>
      <c r="H67" s="1">
        <v>12</v>
      </c>
      <c r="I67" s="1">
        <v>23941</v>
      </c>
      <c r="J67" s="1" t="s">
        <v>192</v>
      </c>
      <c r="K67" s="1" t="str">
        <f ca="1">IFERROR(__xludf.DUMMYFUNCTION("GOOGLETRANSLATE(J66, ""ne"", ""en"")"),"Mohan Acharya")</f>
        <v>Mohan Acharya</v>
      </c>
      <c r="L67" s="1" t="s">
        <v>31</v>
      </c>
      <c r="M67" s="1" t="str">
        <f ca="1">IFERROR(__xludf.DUMMYFUNCTION("GOOGLETRANSLATE(L66, ""ne"", ""en"")"),"Nepali Congress")</f>
        <v>Nepali Congress</v>
      </c>
      <c r="N67" s="1">
        <v>10656</v>
      </c>
      <c r="O67" s="1">
        <v>44.51</v>
      </c>
      <c r="P67" s="1" t="s">
        <v>193</v>
      </c>
      <c r="Q67" s="1" t="str">
        <f ca="1">IFERROR(__xludf.DUMMYFUNCTION("GOOGLETRANSLATE(P66,""ne"", ""en"")"),"Basanta Bhatt")</f>
        <v>Basanta Bhatt</v>
      </c>
      <c r="R67" s="1" t="s">
        <v>43</v>
      </c>
      <c r="S67" s="1" t="str">
        <f ca="1">IFERROR(__xludf.DUMMYFUNCTION("GOOGLETRANSLATE(R66, ""ne"", ""en"")"),"National Independence Party")</f>
        <v>National Independence Party</v>
      </c>
      <c r="T67" s="1">
        <v>5571</v>
      </c>
      <c r="U67" s="1">
        <v>23.27</v>
      </c>
      <c r="V67" s="1">
        <v>5085</v>
      </c>
      <c r="W67" s="1">
        <v>21.24</v>
      </c>
      <c r="X67" s="1" t="b">
        <v>0</v>
      </c>
      <c r="Y67" s="1">
        <v>1</v>
      </c>
      <c r="Z67" s="1">
        <v>3</v>
      </c>
    </row>
    <row r="68" spans="1:26" x14ac:dyDescent="0.25">
      <c r="A68" s="1">
        <v>3</v>
      </c>
      <c r="B68" s="1" t="s">
        <v>179</v>
      </c>
      <c r="C68" s="1" t="str">
        <f ca="1">IFERROR(__xludf.DUMMYFUNCTION("GOOGLETRANSLATE(B67, ""ne"", ""en"")"),"Bagmati Province")</f>
        <v>Bagmati Province</v>
      </c>
      <c r="D68" s="1">
        <v>24</v>
      </c>
      <c r="E68" s="1" t="s">
        <v>194</v>
      </c>
      <c r="F68" s="1" t="str">
        <f ca="1">IFERROR(__xludf.DUMMYFUNCTION("GOOGLETRANSLATE(E67,""ne"", ""en"")"),"Dhading")</f>
        <v>Dhading</v>
      </c>
      <c r="G68" s="1">
        <v>1</v>
      </c>
      <c r="H68" s="1">
        <v>23</v>
      </c>
      <c r="I68" s="1">
        <v>80841</v>
      </c>
      <c r="J68" s="1" t="s">
        <v>195</v>
      </c>
      <c r="K68" s="1" t="str">
        <f ca="1">IFERROR(__xludf.DUMMYFUNCTION("GOOGLETRANSLATE(J67, ""ne"", ""en"")"),"Asika Tamang")</f>
        <v>Asika Tamang</v>
      </c>
      <c r="L68" s="1" t="s">
        <v>43</v>
      </c>
      <c r="M68" s="1" t="str">
        <f ca="1">IFERROR(__xludf.DUMMYFUNCTION("GOOGLETRANSLATE(L67, ""ne"", ""en"")"),"National Independence Party")</f>
        <v>National Independence Party</v>
      </c>
      <c r="N68" s="1">
        <v>39128</v>
      </c>
      <c r="O68" s="1">
        <v>48.4</v>
      </c>
      <c r="P68" s="1" t="s">
        <v>196</v>
      </c>
      <c r="Q68" s="1" t="str">
        <f ca="1">IFERROR(__xludf.DUMMYFUNCTION("GOOGLETRANSLATE(P67,""ne"", ""en"")"),"Bhumi Prasad Tripathi")</f>
        <v>Bhumi Prasad Tripathi</v>
      </c>
      <c r="R68" s="1" t="s">
        <v>29</v>
      </c>
      <c r="S68" s="1" t="str">
        <f ca="1">IFERROR(__xludf.DUMMYFUNCTION("GOOGLETRANSLATE(R67, ""ne"", ""en"")"),"Communist Party of Nepal (Unified Marxist-Leninist)")</f>
        <v>Communist Party of Nepal (Unified Marxist-Leninist)</v>
      </c>
      <c r="T68" s="1">
        <v>15032</v>
      </c>
      <c r="U68" s="1">
        <v>18.59</v>
      </c>
      <c r="V68" s="1">
        <v>24096</v>
      </c>
      <c r="W68" s="1">
        <v>29.81</v>
      </c>
      <c r="X68" s="1" t="b">
        <v>0</v>
      </c>
      <c r="Y68" s="1">
        <v>3</v>
      </c>
      <c r="Z68" s="1">
        <v>10</v>
      </c>
    </row>
    <row r="69" spans="1:26" x14ac:dyDescent="0.25">
      <c r="A69" s="1">
        <v>3</v>
      </c>
      <c r="B69" s="1" t="s">
        <v>179</v>
      </c>
      <c r="C69" s="1" t="str">
        <f ca="1">IFERROR(__xludf.DUMMYFUNCTION("GOOGLETRANSLATE(B68, ""ne"", ""en"")"),"Bagmati Province")</f>
        <v>Bagmati Province</v>
      </c>
      <c r="D69" s="1">
        <v>24</v>
      </c>
      <c r="E69" s="1" t="s">
        <v>194</v>
      </c>
      <c r="F69" s="1" t="str">
        <f ca="1">IFERROR(__xludf.DUMMYFUNCTION("GOOGLETRANSLATE(E68,""ne"", ""en"")"),"Dhading")</f>
        <v>Dhading</v>
      </c>
      <c r="G69" s="1">
        <v>2</v>
      </c>
      <c r="H69" s="1">
        <v>24</v>
      </c>
      <c r="I69" s="1">
        <v>69751</v>
      </c>
      <c r="J69" s="1" t="s">
        <v>197</v>
      </c>
      <c r="K69" s="1" t="str">
        <f ca="1">IFERROR(__xludf.DUMMYFUNCTION("GOOGLETRANSLATE(J68, ""ne"", ""en"")"),"Bodh Narayan Shrestha")</f>
        <v>Bodh Narayan Shrestha</v>
      </c>
      <c r="L69" s="1" t="s">
        <v>43</v>
      </c>
      <c r="M69" s="1" t="str">
        <f ca="1">IFERROR(__xludf.DUMMYFUNCTION("GOOGLETRANSLATE(L68, ""ne"", ""en"")"),"National Independence Party")</f>
        <v>National Independence Party</v>
      </c>
      <c r="N69" s="1">
        <v>26145</v>
      </c>
      <c r="O69" s="1">
        <v>37.479999999999997</v>
      </c>
      <c r="P69" s="1" t="s">
        <v>198</v>
      </c>
      <c r="Q69" s="1" t="str">
        <f ca="1">IFERROR(__xludf.DUMMYFUNCTION("GOOGLETRANSLATE(P68,""ne"", ""en"")"),"Ramesh Prasad Dhamla")</f>
        <v>Ramesh Prasad Dhamla</v>
      </c>
      <c r="R69" s="1" t="s">
        <v>31</v>
      </c>
      <c r="S69" s="1" t="str">
        <f ca="1">IFERROR(__xludf.DUMMYFUNCTION("GOOGLETRANSLATE(R68, ""ne"", ""en"")"),"Nepali Congress")</f>
        <v>Nepali Congress</v>
      </c>
      <c r="T69" s="1">
        <v>20279</v>
      </c>
      <c r="U69" s="1">
        <v>29.07</v>
      </c>
      <c r="V69" s="1">
        <v>5866</v>
      </c>
      <c r="W69" s="1">
        <v>8.41</v>
      </c>
      <c r="X69" s="1" t="b">
        <v>0</v>
      </c>
      <c r="Y69" s="1">
        <v>1</v>
      </c>
      <c r="Z69" s="1">
        <v>8</v>
      </c>
    </row>
    <row r="70" spans="1:26" x14ac:dyDescent="0.25">
      <c r="A70" s="1">
        <v>3</v>
      </c>
      <c r="B70" s="1" t="s">
        <v>179</v>
      </c>
      <c r="C70" s="1" t="str">
        <f ca="1">IFERROR(__xludf.DUMMYFUNCTION("GOOGLETRANSLATE(B69, ""ne"", ""en"")"),"Bagmati Province")</f>
        <v>Bagmati Province</v>
      </c>
      <c r="D70" s="1">
        <v>25</v>
      </c>
      <c r="E70" s="1" t="s">
        <v>199</v>
      </c>
      <c r="F70" s="1" t="str">
        <f ca="1">IFERROR(__xludf.DUMMYFUNCTION("GOOGLETRANSLATE(E69,""ne"", ""en"")"),"Nuwakot")</f>
        <v>Nuwakot</v>
      </c>
      <c r="G70" s="1">
        <v>1</v>
      </c>
      <c r="H70" s="1">
        <v>18</v>
      </c>
      <c r="I70" s="1">
        <v>67280</v>
      </c>
      <c r="J70" s="1" t="s">
        <v>200</v>
      </c>
      <c r="K70" s="1" t="str">
        <f ca="1">IFERROR(__xludf.DUMMYFUNCTION("GOOGLETRANSLATE(J69, ""ne"", ""en"")"),"Vikram Timilsina")</f>
        <v>Vikram Timilsina</v>
      </c>
      <c r="L70" s="1" t="s">
        <v>43</v>
      </c>
      <c r="M70" s="1" t="str">
        <f ca="1">IFERROR(__xludf.DUMMYFUNCTION("GOOGLETRANSLATE(L69, ""ne"", ""en"")"),"National Independence Party")</f>
        <v>National Independence Party</v>
      </c>
      <c r="N70" s="1">
        <v>22609</v>
      </c>
      <c r="O70" s="1">
        <v>33.6</v>
      </c>
      <c r="P70" s="1" t="s">
        <v>201</v>
      </c>
      <c r="Q70" s="1" t="str">
        <f ca="1">IFERROR(__xludf.DUMMYFUNCTION("GOOGLETRANSLATE(P69,""ne"", ""en"")"),"Prakash Sharan Mahat")</f>
        <v>Prakash Sharan Mahat</v>
      </c>
      <c r="R70" s="1" t="s">
        <v>31</v>
      </c>
      <c r="S70" s="1" t="str">
        <f ca="1">IFERROR(__xludf.DUMMYFUNCTION("GOOGLETRANSLATE(R69, ""ne"", ""en"")"),"Nepali Congress")</f>
        <v>Nepali Congress</v>
      </c>
      <c r="T70" s="1">
        <v>18597</v>
      </c>
      <c r="U70" s="1">
        <v>27.64</v>
      </c>
      <c r="V70" s="1">
        <v>4012</v>
      </c>
      <c r="W70" s="1">
        <v>5.96</v>
      </c>
      <c r="X70" s="1" t="b">
        <v>0</v>
      </c>
      <c r="Y70" s="1">
        <v>1</v>
      </c>
      <c r="Z70" s="1">
        <v>5</v>
      </c>
    </row>
    <row r="71" spans="1:26" x14ac:dyDescent="0.25">
      <c r="A71" s="1">
        <v>3</v>
      </c>
      <c r="B71" s="1" t="s">
        <v>179</v>
      </c>
      <c r="C71" s="1" t="str">
        <f ca="1">IFERROR(__xludf.DUMMYFUNCTION("GOOGLETRANSLATE(B70, ""ne"", ""en"")"),"Bagmati Province")</f>
        <v>Bagmati Province</v>
      </c>
      <c r="D71" s="1">
        <v>25</v>
      </c>
      <c r="E71" s="1" t="s">
        <v>199</v>
      </c>
      <c r="F71" s="1" t="str">
        <f ca="1">IFERROR(__xludf.DUMMYFUNCTION("GOOGLETRANSLATE(E70,""ne"", ""en"")"),"Nuwakot")</f>
        <v>Nuwakot</v>
      </c>
      <c r="G71" s="1">
        <v>2</v>
      </c>
      <c r="H71" s="1">
        <v>12</v>
      </c>
      <c r="I71" s="1">
        <v>67090</v>
      </c>
      <c r="J71" s="1" t="s">
        <v>202</v>
      </c>
      <c r="K71" s="1" t="str">
        <f ca="1">IFERROR(__xludf.DUMMYFUNCTION("GOOGLETRANSLATE(J70, ""ne"", ""en"")"),"Achuttam Lamichhane")</f>
        <v>Achuttam Lamichhane</v>
      </c>
      <c r="L71" s="1" t="s">
        <v>43</v>
      </c>
      <c r="M71" s="1" t="str">
        <f ca="1">IFERROR(__xludf.DUMMYFUNCTION("GOOGLETRANSLATE(L70, ""ne"", ""en"")"),"National Independence Party")</f>
        <v>National Independence Party</v>
      </c>
      <c r="N71" s="1">
        <v>32054</v>
      </c>
      <c r="O71" s="1">
        <v>47.78</v>
      </c>
      <c r="P71" s="1" t="s">
        <v>203</v>
      </c>
      <c r="Q71" s="1" t="str">
        <f ca="1">IFERROR(__xludf.DUMMYFUNCTION("GOOGLETRANSLATE(P70,""ne"", ""en"")"),"Jagadishwar Narasimha K.C.")</f>
        <v>Jagadishwar Narasimha K.C.</v>
      </c>
      <c r="R71" s="1" t="s">
        <v>31</v>
      </c>
      <c r="S71" s="1" t="str">
        <f ca="1">IFERROR(__xludf.DUMMYFUNCTION("GOOGLETRANSLATE(R70, ""ne"", ""en"")"),"Nepali Congress")</f>
        <v>Nepali Congress</v>
      </c>
      <c r="T71" s="1">
        <v>15503</v>
      </c>
      <c r="U71" s="1">
        <v>23.11</v>
      </c>
      <c r="V71" s="1">
        <v>16551</v>
      </c>
      <c r="W71" s="1">
        <v>24.67</v>
      </c>
      <c r="X71" s="1" t="b">
        <v>0</v>
      </c>
      <c r="Y71" s="1">
        <v>0</v>
      </c>
      <c r="Z71" s="1">
        <v>0</v>
      </c>
    </row>
    <row r="72" spans="1:26" x14ac:dyDescent="0.25">
      <c r="A72" s="1">
        <v>3</v>
      </c>
      <c r="B72" s="1" t="s">
        <v>179</v>
      </c>
      <c r="C72" s="1" t="str">
        <f ca="1">IFERROR(__xludf.DUMMYFUNCTION("GOOGLETRANSLATE(B71, ""ne"", ""en"")"),"Bagmati Province")</f>
        <v>Bagmati Province</v>
      </c>
      <c r="D72" s="1">
        <v>26</v>
      </c>
      <c r="E72" s="1" t="s">
        <v>204</v>
      </c>
      <c r="F72" s="1" t="str">
        <f ca="1">IFERROR(__xludf.DUMMYFUNCTION("GOOGLETRANSLATE(E71,""ne"", ""en"")"),"Kathmandu")</f>
        <v>Kathmandu</v>
      </c>
      <c r="G72" s="1">
        <v>1</v>
      </c>
      <c r="H72" s="1">
        <v>29</v>
      </c>
      <c r="I72" s="1">
        <v>29082</v>
      </c>
      <c r="J72" s="1" t="s">
        <v>205</v>
      </c>
      <c r="K72" s="1" t="str">
        <f ca="1">IFERROR(__xludf.DUMMYFUNCTION("GOOGLETRANSLATE(J71, ""ne"", ""en"")"),"Ranju Nyupane")</f>
        <v>Ranju Nyupane</v>
      </c>
      <c r="L72" s="1" t="s">
        <v>43</v>
      </c>
      <c r="M72" s="1" t="str">
        <f ca="1">IFERROR(__xludf.DUMMYFUNCTION("GOOGLETRANSLATE(L71, ""ne"", ""en"")"),"National Independence Party")</f>
        <v>National Independence Party</v>
      </c>
      <c r="N72" s="1">
        <v>15455</v>
      </c>
      <c r="O72" s="1">
        <v>53.14</v>
      </c>
      <c r="P72" s="1" t="s">
        <v>206</v>
      </c>
      <c r="Q72" s="1" t="str">
        <f ca="1">IFERROR(__xludf.DUMMYFUNCTION("GOOGLETRANSLATE(P71,""ne"", ""en"")"),"Prabal Thapa Chhetri")</f>
        <v>Prabal Thapa Chhetri</v>
      </c>
      <c r="R72" s="1" t="s">
        <v>31</v>
      </c>
      <c r="S72" s="1" t="str">
        <f ca="1">IFERROR(__xludf.DUMMYFUNCTION("GOOGLETRANSLATE(R71, ""ne"", ""en"")"),"Nepali Congress")</f>
        <v>Nepali Congress</v>
      </c>
      <c r="T72" s="1">
        <v>6364</v>
      </c>
      <c r="U72" s="1">
        <v>21.88</v>
      </c>
      <c r="V72" s="1">
        <v>9091</v>
      </c>
      <c r="W72" s="1">
        <v>31.26</v>
      </c>
      <c r="X72" s="1" t="b">
        <v>0</v>
      </c>
      <c r="Y72" s="1">
        <v>4</v>
      </c>
      <c r="Z72" s="1">
        <v>13</v>
      </c>
    </row>
    <row r="73" spans="1:26" x14ac:dyDescent="0.25">
      <c r="A73" s="1">
        <v>3</v>
      </c>
      <c r="B73" s="1" t="s">
        <v>179</v>
      </c>
      <c r="C73" s="1" t="str">
        <f ca="1">IFERROR(__xludf.DUMMYFUNCTION("GOOGLETRANSLATE(B72, ""ne"", ""en"")"),"Bagmati Province")</f>
        <v>Bagmati Province</v>
      </c>
      <c r="D73" s="1">
        <v>26</v>
      </c>
      <c r="E73" s="1" t="s">
        <v>204</v>
      </c>
      <c r="F73" s="1" t="str">
        <f ca="1">IFERROR(__xludf.DUMMYFUNCTION("GOOGLETRANSLATE(E72,""ne"", ""en"")"),"Kathmandu")</f>
        <v>Kathmandu</v>
      </c>
      <c r="G73" s="1">
        <v>10</v>
      </c>
      <c r="H73" s="1">
        <v>25</v>
      </c>
      <c r="I73" s="1">
        <v>58058</v>
      </c>
      <c r="J73" s="1" t="s">
        <v>207</v>
      </c>
      <c r="K73" s="1" t="str">
        <f ca="1">IFERROR(__xludf.DUMMYFUNCTION("GOOGLETRANSLATE(J72, ""ne"", ""en"")"),"Pradeep Bisht")</f>
        <v>Pradeep Bisht</v>
      </c>
      <c r="L73" s="1" t="s">
        <v>43</v>
      </c>
      <c r="M73" s="1" t="str">
        <f ca="1">IFERROR(__xludf.DUMMYFUNCTION("GOOGLETRANSLATE(L72, ""ne"", ""en"")"),"National Independence Party")</f>
        <v>National Independence Party</v>
      </c>
      <c r="N73" s="1">
        <v>37469</v>
      </c>
      <c r="O73" s="1">
        <v>64.540000000000006</v>
      </c>
      <c r="P73" s="1" t="s">
        <v>208</v>
      </c>
      <c r="Q73" s="1" t="str">
        <f ca="1">IFERROR(__xludf.DUMMYFUNCTION("GOOGLETRANSLATE(P72,""ne"", ""en"")"),"Himal Karki")</f>
        <v>Himal Karki</v>
      </c>
      <c r="R73" s="1" t="s">
        <v>31</v>
      </c>
      <c r="S73" s="1" t="str">
        <f ca="1">IFERROR(__xludf.DUMMYFUNCTION("GOOGLETRANSLATE(R72, ""ne"", ""en"")"),"Nepali Congress")</f>
        <v>Nepali Congress</v>
      </c>
      <c r="T73" s="1">
        <v>8100</v>
      </c>
      <c r="U73" s="1">
        <v>13.95</v>
      </c>
      <c r="V73" s="1">
        <v>29369</v>
      </c>
      <c r="W73" s="1">
        <v>50.59</v>
      </c>
      <c r="X73" s="1" t="b">
        <v>0</v>
      </c>
      <c r="Y73" s="1">
        <v>5</v>
      </c>
      <c r="Z73" s="1">
        <v>10</v>
      </c>
    </row>
    <row r="74" spans="1:26" x14ac:dyDescent="0.25">
      <c r="A74" s="1">
        <v>3</v>
      </c>
      <c r="B74" s="1" t="s">
        <v>179</v>
      </c>
      <c r="C74" s="1" t="str">
        <f ca="1">IFERROR(__xludf.DUMMYFUNCTION("GOOGLETRANSLATE(B73, ""ne"", ""en"")"),"Bagmati Province")</f>
        <v>Bagmati Province</v>
      </c>
      <c r="D74" s="1">
        <v>26</v>
      </c>
      <c r="E74" s="1" t="s">
        <v>204</v>
      </c>
      <c r="F74" s="1" t="str">
        <f ca="1">IFERROR(__xludf.DUMMYFUNCTION("GOOGLETRANSLATE(E73,""ne"", ""en"")"),"Kathmandu")</f>
        <v>Kathmandu</v>
      </c>
      <c r="G74" s="1">
        <v>2</v>
      </c>
      <c r="H74" s="1">
        <v>28</v>
      </c>
      <c r="I74" s="1">
        <v>57015</v>
      </c>
      <c r="J74" s="1" t="s">
        <v>209</v>
      </c>
      <c r="K74" s="1" t="str">
        <f ca="1">IFERROR(__xludf.DUMMYFUNCTION("GOOGLETRANSLATE(J73, ""ne"", ""en"")"),"Sunil K.C.")</f>
        <v>Sunil K.C.</v>
      </c>
      <c r="L74" s="1" t="s">
        <v>43</v>
      </c>
      <c r="M74" s="1" t="str">
        <f ca="1">IFERROR(__xludf.DUMMYFUNCTION("GOOGLETRANSLATE(L73, ""ne"", ""en"")"),"National Independence Party")</f>
        <v>National Independence Party</v>
      </c>
      <c r="N74" s="1">
        <v>34238</v>
      </c>
      <c r="O74" s="1">
        <v>60.05</v>
      </c>
      <c r="P74" s="1" t="s">
        <v>210</v>
      </c>
      <c r="Q74" s="1" t="str">
        <f ca="1">IFERROR(__xludf.DUMMYFUNCTION("GOOGLETRANSLATE(P73,""ne"", ""en"")"),"Kabir Sharma")</f>
        <v>Kabir Sharma</v>
      </c>
      <c r="R74" s="1" t="s">
        <v>31</v>
      </c>
      <c r="S74" s="1" t="str">
        <f ca="1">IFERROR(__xludf.DUMMYFUNCTION("GOOGLETRANSLATE(R73, ""ne"", ""en"")"),"Nepali Congress")</f>
        <v>Nepali Congress</v>
      </c>
      <c r="T74" s="1">
        <v>8874</v>
      </c>
      <c r="U74" s="1">
        <v>15.56</v>
      </c>
      <c r="V74" s="1">
        <v>25364</v>
      </c>
      <c r="W74" s="1">
        <v>44.49</v>
      </c>
      <c r="X74" s="1" t="b">
        <v>0</v>
      </c>
      <c r="Y74" s="1">
        <v>6</v>
      </c>
      <c r="Z74" s="1">
        <v>12</v>
      </c>
    </row>
    <row r="75" spans="1:26" x14ac:dyDescent="0.25">
      <c r="A75" s="1">
        <v>3</v>
      </c>
      <c r="B75" s="1" t="s">
        <v>179</v>
      </c>
      <c r="C75" s="1" t="str">
        <f ca="1">IFERROR(__xludf.DUMMYFUNCTION("GOOGLETRANSLATE(B74, ""ne"", ""en"")"),"Bagmati Province")</f>
        <v>Bagmati Province</v>
      </c>
      <c r="D75" s="1">
        <v>26</v>
      </c>
      <c r="E75" s="1" t="s">
        <v>204</v>
      </c>
      <c r="F75" s="1" t="str">
        <f ca="1">IFERROR(__xludf.DUMMYFUNCTION("GOOGLETRANSLATE(E74,""ne"", ""en"")"),"Kathmandu")</f>
        <v>Kathmandu</v>
      </c>
      <c r="G75" s="1">
        <v>3</v>
      </c>
      <c r="H75" s="1">
        <v>22</v>
      </c>
      <c r="I75" s="1">
        <v>41919</v>
      </c>
      <c r="J75" s="1" t="s">
        <v>211</v>
      </c>
      <c r="K75" s="1" t="str">
        <f ca="1">IFERROR(__xludf.DUMMYFUNCTION("GOOGLETRANSLATE(J74, ""ne"", ""en"")"),"Raju Nath Pandey")</f>
        <v>Raju Nath Pandey</v>
      </c>
      <c r="L75" s="1" t="s">
        <v>43</v>
      </c>
      <c r="M75" s="1" t="str">
        <f ca="1">IFERROR(__xludf.DUMMYFUNCTION("GOOGLETRANSLATE(L74, ""ne"", ""en"")"),"National Independence Party")</f>
        <v>National Independence Party</v>
      </c>
      <c r="N75" s="1">
        <v>18757</v>
      </c>
      <c r="O75" s="1">
        <v>44.75</v>
      </c>
      <c r="P75" s="1" t="s">
        <v>212</v>
      </c>
      <c r="Q75" s="1" t="str">
        <f ca="1">IFERROR(__xludf.DUMMYFUNCTION("GOOGLETRANSLATE(P74,""ne"", ""en"")"),"Kulman Ghising")</f>
        <v>Kulman Ghising</v>
      </c>
      <c r="R75" s="1" t="s">
        <v>213</v>
      </c>
      <c r="S75" s="1" t="str">
        <f ca="1">IFERROR(__xludf.DUMMYFUNCTION("GOOGLETRANSLATE(R74, ""ne"", ""en"")"),"Ujjaya Nepal Party")</f>
        <v>Ujjaya Nepal Party</v>
      </c>
      <c r="T75" s="1">
        <v>11171</v>
      </c>
      <c r="U75" s="1">
        <v>26.65</v>
      </c>
      <c r="V75" s="1">
        <v>7586</v>
      </c>
      <c r="W75" s="1">
        <v>18.100000000000001</v>
      </c>
      <c r="X75" s="1" t="b">
        <v>0</v>
      </c>
      <c r="Y75" s="1">
        <v>1</v>
      </c>
      <c r="Z75" s="1">
        <v>6</v>
      </c>
    </row>
    <row r="76" spans="1:26" x14ac:dyDescent="0.25">
      <c r="A76" s="1">
        <v>3</v>
      </c>
      <c r="B76" s="1" t="s">
        <v>179</v>
      </c>
      <c r="C76" s="1" t="str">
        <f ca="1">IFERROR(__xludf.DUMMYFUNCTION("GOOGLETRANSLATE(B75, ""ne"", ""en"")"),"Bagmati Province")</f>
        <v>Bagmati Province</v>
      </c>
      <c r="D76" s="1">
        <v>26</v>
      </c>
      <c r="E76" s="1" t="s">
        <v>204</v>
      </c>
      <c r="F76" s="1" t="str">
        <f ca="1">IFERROR(__xludf.DUMMYFUNCTION("GOOGLETRANSLATE(E75,""ne"", ""en"")"),"Kathmandu")</f>
        <v>Kathmandu</v>
      </c>
      <c r="G76" s="1">
        <v>4</v>
      </c>
      <c r="H76" s="1">
        <v>28</v>
      </c>
      <c r="I76" s="1">
        <v>48689</v>
      </c>
      <c r="J76" s="1" t="s">
        <v>214</v>
      </c>
      <c r="K76" s="1" t="str">
        <f ca="1">IFERROR(__xludf.DUMMYFUNCTION("GOOGLETRANSLATE(J75, ""ne"", ""en"")"),"Call Bomb")</f>
        <v>Call Bomb</v>
      </c>
      <c r="L76" s="1" t="s">
        <v>43</v>
      </c>
      <c r="M76" s="1" t="str">
        <f ca="1">IFERROR(__xludf.DUMMYFUNCTION("GOOGLETRANSLATE(L75, ""ne"", ""en"")"),"National Independence Party")</f>
        <v>National Independence Party</v>
      </c>
      <c r="N76" s="1">
        <v>29142</v>
      </c>
      <c r="O76" s="1">
        <v>59.85</v>
      </c>
      <c r="P76" s="1" t="s">
        <v>215</v>
      </c>
      <c r="Q76" s="1" t="str">
        <f ca="1">IFERROR(__xludf.DUMMYFUNCTION("GOOGLETRANSLATE(P75,""ne"", ""en"")"),"Sachin Timalsena")</f>
        <v>Sachin Timalsena</v>
      </c>
      <c r="R76" s="1" t="s">
        <v>31</v>
      </c>
      <c r="S76" s="1" t="str">
        <f ca="1">IFERROR(__xludf.DUMMYFUNCTION("GOOGLETRANSLATE(R75, ""ne"", ""en"")"),"Nepali Congress")</f>
        <v>Nepali Congress</v>
      </c>
      <c r="T76" s="1">
        <v>8824</v>
      </c>
      <c r="U76" s="1">
        <v>18.12</v>
      </c>
      <c r="V76" s="1">
        <v>20318</v>
      </c>
      <c r="W76" s="1">
        <v>41.73</v>
      </c>
      <c r="X76" s="1" t="b">
        <v>0</v>
      </c>
      <c r="Y76" s="1">
        <v>2</v>
      </c>
      <c r="Z76" s="1">
        <v>10</v>
      </c>
    </row>
    <row r="77" spans="1:26" x14ac:dyDescent="0.25">
      <c r="A77" s="1">
        <v>3</v>
      </c>
      <c r="B77" s="1" t="s">
        <v>179</v>
      </c>
      <c r="C77" s="1" t="str">
        <f ca="1">IFERROR(__xludf.DUMMYFUNCTION("GOOGLETRANSLATE(B76, ""ne"", ""en"")"),"Bagmati Province")</f>
        <v>Bagmati Province</v>
      </c>
      <c r="D77" s="1">
        <v>26</v>
      </c>
      <c r="E77" s="1" t="s">
        <v>204</v>
      </c>
      <c r="F77" s="1" t="str">
        <f ca="1">IFERROR(__xludf.DUMMYFUNCTION("GOOGLETRANSLATE(E76,""ne"", ""en"")"),"Kathmandu")</f>
        <v>Kathmandu</v>
      </c>
      <c r="G77" s="1">
        <v>5</v>
      </c>
      <c r="H77" s="1">
        <v>25</v>
      </c>
      <c r="I77" s="1">
        <v>50203</v>
      </c>
      <c r="J77" s="1" t="s">
        <v>216</v>
      </c>
      <c r="K77" s="1" t="str">
        <f ca="1">IFERROR(__xludf.DUMMYFUNCTION("GOOGLETRANSLATE(J76, ""ne"", ""en"")"),"Sasmit Pokharel")</f>
        <v>Sasmit Pokharel</v>
      </c>
      <c r="L77" s="1" t="s">
        <v>43</v>
      </c>
      <c r="M77" s="1" t="str">
        <f ca="1">IFERROR(__xludf.DUMMYFUNCTION("GOOGLETRANSLATE(L76, ""ne"", ""en"")"),"National Independence Party")</f>
        <v>National Independence Party</v>
      </c>
      <c r="N77" s="1">
        <v>30737</v>
      </c>
      <c r="O77" s="1">
        <v>61.23</v>
      </c>
      <c r="P77" s="1" t="s">
        <v>217</v>
      </c>
      <c r="Q77" s="1" t="str">
        <f ca="1">IFERROR(__xludf.DUMMYFUNCTION("GOOGLETRANSLATE(P76,""ne"", ""en"")"),"Pradeep Poudel")</f>
        <v>Pradeep Poudel</v>
      </c>
      <c r="R77" s="1" t="s">
        <v>31</v>
      </c>
      <c r="S77" s="1" t="str">
        <f ca="1">IFERROR(__xludf.DUMMYFUNCTION("GOOGLETRANSLATE(R76, ""ne"", ""en"")"),"Nepali Congress")</f>
        <v>Nepali Congress</v>
      </c>
      <c r="T77" s="1">
        <v>9159</v>
      </c>
      <c r="U77" s="1">
        <v>18.239999999999998</v>
      </c>
      <c r="V77" s="1">
        <v>21578</v>
      </c>
      <c r="W77" s="1">
        <v>42.98</v>
      </c>
      <c r="X77" s="1" t="b">
        <v>0</v>
      </c>
      <c r="Y77" s="1">
        <v>7</v>
      </c>
      <c r="Z77" s="1">
        <v>5</v>
      </c>
    </row>
    <row r="78" spans="1:26" x14ac:dyDescent="0.25">
      <c r="A78" s="1">
        <v>3</v>
      </c>
      <c r="B78" s="1" t="s">
        <v>179</v>
      </c>
      <c r="C78" s="1" t="str">
        <f ca="1">IFERROR(__xludf.DUMMYFUNCTION("GOOGLETRANSLATE(B77, ""ne"", ""en"")"),"Bagmati Province")</f>
        <v>Bagmati Province</v>
      </c>
      <c r="D78" s="1">
        <v>26</v>
      </c>
      <c r="E78" s="1" t="s">
        <v>204</v>
      </c>
      <c r="F78" s="1" t="str">
        <f ca="1">IFERROR(__xludf.DUMMYFUNCTION("GOOGLETRANSLATE(E77,""ne"", ""en"")"),"Kathmandu")</f>
        <v>Kathmandu</v>
      </c>
      <c r="G78" s="1">
        <v>6</v>
      </c>
      <c r="H78" s="1">
        <v>20</v>
      </c>
      <c r="I78" s="1">
        <v>43355</v>
      </c>
      <c r="J78" s="1" t="s">
        <v>218</v>
      </c>
      <c r="K78" s="1" t="str">
        <f ca="1">IFERROR(__xludf.DUMMYFUNCTION("GOOGLETRANSLATE(J77, ""ne"", ""en"")"),"Shishir Khanal")</f>
        <v>Shishir Khanal</v>
      </c>
      <c r="L78" s="1" t="s">
        <v>43</v>
      </c>
      <c r="M78" s="1" t="str">
        <f ca="1">IFERROR(__xludf.DUMMYFUNCTION("GOOGLETRANSLATE(L77, ""ne"", ""en"")"),"National Independence Party")</f>
        <v>National Independence Party</v>
      </c>
      <c r="N78" s="1">
        <v>27916</v>
      </c>
      <c r="O78" s="1">
        <v>64.39</v>
      </c>
      <c r="P78" s="1" t="s">
        <v>219</v>
      </c>
      <c r="Q78" s="1" t="str">
        <f ca="1">IFERROR(__xludf.DUMMYFUNCTION("GOOGLETRANSLATE(P77,""ne"", ""en"")"),"Krishna Vaniya Kshetri")</f>
        <v>Krishna Vaniya Kshetri</v>
      </c>
      <c r="R78" s="1" t="s">
        <v>31</v>
      </c>
      <c r="S78" s="1" t="str">
        <f ca="1">IFERROR(__xludf.DUMMYFUNCTION("GOOGLETRANSLATE(R77, ""ne"", ""en"")"),"Nepali Congress")</f>
        <v>Nepali Congress</v>
      </c>
      <c r="T78" s="1">
        <v>6667</v>
      </c>
      <c r="U78" s="1">
        <v>15.38</v>
      </c>
      <c r="V78" s="1">
        <v>21249</v>
      </c>
      <c r="W78" s="1">
        <v>49.01</v>
      </c>
      <c r="X78" s="1" t="b">
        <v>0</v>
      </c>
      <c r="Y78" s="1">
        <v>5</v>
      </c>
      <c r="Z78" s="1">
        <v>5</v>
      </c>
    </row>
    <row r="79" spans="1:26" x14ac:dyDescent="0.25">
      <c r="A79" s="1">
        <v>3</v>
      </c>
      <c r="B79" s="1" t="s">
        <v>179</v>
      </c>
      <c r="C79" s="1" t="str">
        <f ca="1">IFERROR(__xludf.DUMMYFUNCTION("GOOGLETRANSLATE(B78, ""ne"", ""en"")"),"Bagmati Province")</f>
        <v>Bagmati Province</v>
      </c>
      <c r="D79" s="1">
        <v>26</v>
      </c>
      <c r="E79" s="1" t="s">
        <v>204</v>
      </c>
      <c r="F79" s="1" t="str">
        <f ca="1">IFERROR(__xludf.DUMMYFUNCTION("GOOGLETRANSLATE(E78,""ne"", ""en"")"),"Kathmandu")</f>
        <v>Kathmandu</v>
      </c>
      <c r="G79" s="1">
        <v>7</v>
      </c>
      <c r="H79" s="1">
        <v>27</v>
      </c>
      <c r="I79" s="1">
        <v>42696</v>
      </c>
      <c r="J79" s="1" t="s">
        <v>220</v>
      </c>
      <c r="K79" s="1" t="str">
        <f ca="1">IFERROR(__xludf.DUMMYFUNCTION("GOOGLETRANSLATE(J78, ""ne"", ""en"")"),"Ganesh Parajuli")</f>
        <v>Ganesh Parajuli</v>
      </c>
      <c r="L79" s="1" t="s">
        <v>43</v>
      </c>
      <c r="M79" s="1" t="str">
        <f ca="1">IFERROR(__xludf.DUMMYFUNCTION("GOOGLETRANSLATE(L78, ""ne"", ""en"")"),"National Independence Party")</f>
        <v>National Independence Party</v>
      </c>
      <c r="N79" s="1">
        <v>27805</v>
      </c>
      <c r="O79" s="1">
        <v>65.12</v>
      </c>
      <c r="P79" s="1" t="s">
        <v>221</v>
      </c>
      <c r="Q79" s="1" t="str">
        <f ca="1">IFERROR(__xludf.DUMMYFUNCTION("GOOGLETRANSLATE(P78,""ne"", ""en"")"),"Pramod Hari Guragai")</f>
        <v>Pramod Hari Guragai</v>
      </c>
      <c r="R79" s="1" t="s">
        <v>31</v>
      </c>
      <c r="S79" s="1" t="str">
        <f ca="1">IFERROR(__xludf.DUMMYFUNCTION("GOOGLETRANSLATE(R78, ""ne"", ""en"")"),"Nepali Congress")</f>
        <v>Nepali Congress</v>
      </c>
      <c r="T79" s="1">
        <v>3982</v>
      </c>
      <c r="U79" s="1">
        <v>9.33</v>
      </c>
      <c r="V79" s="1">
        <v>23823</v>
      </c>
      <c r="W79" s="1">
        <v>55.8</v>
      </c>
      <c r="X79" s="1" t="b">
        <v>0</v>
      </c>
      <c r="Y79" s="1">
        <v>6</v>
      </c>
      <c r="Z79" s="1">
        <v>10</v>
      </c>
    </row>
    <row r="80" spans="1:26" x14ac:dyDescent="0.25">
      <c r="A80" s="1">
        <v>3</v>
      </c>
      <c r="B80" s="1" t="s">
        <v>179</v>
      </c>
      <c r="C80" s="1" t="str">
        <f ca="1">IFERROR(__xludf.DUMMYFUNCTION("GOOGLETRANSLATE(B79, ""ne"", ""en"")"),"Bagmati Province")</f>
        <v>Bagmati Province</v>
      </c>
      <c r="D80" s="1">
        <v>26</v>
      </c>
      <c r="E80" s="1" t="s">
        <v>204</v>
      </c>
      <c r="F80" s="1" t="str">
        <f ca="1">IFERROR(__xludf.DUMMYFUNCTION("GOOGLETRANSLATE(E79,""ne"", ""en"")"),"Kathmandu")</f>
        <v>Kathmandu</v>
      </c>
      <c r="G80" s="1">
        <v>8</v>
      </c>
      <c r="H80" s="1">
        <v>22</v>
      </c>
      <c r="I80" s="1">
        <v>36413</v>
      </c>
      <c r="J80" s="1" t="s">
        <v>222</v>
      </c>
      <c r="K80" s="1" t="str">
        <f ca="1">IFERROR(__xludf.DUMMYFUNCTION("GOOGLETRANSLATE(J79, ""ne"", ""en"")"),"Viraj Bhakta Shrestha")</f>
        <v>Viraj Bhakta Shrestha</v>
      </c>
      <c r="L80" s="1" t="s">
        <v>43</v>
      </c>
      <c r="M80" s="1" t="str">
        <f ca="1">IFERROR(__xludf.DUMMYFUNCTION("GOOGLETRANSLATE(L79, ""ne"", ""en"")"),"National Independence Party")</f>
        <v>National Independence Party</v>
      </c>
      <c r="N80" s="1">
        <v>24592</v>
      </c>
      <c r="O80" s="1">
        <v>67.540000000000006</v>
      </c>
      <c r="P80" s="1" t="s">
        <v>223</v>
      </c>
      <c r="Q80" s="1" t="str">
        <f ca="1">IFERROR(__xludf.DUMMYFUNCTION("GOOGLETRANSLATE(P79,""ne"", ""en"")"),"Suman Sayami")</f>
        <v>Suman Sayami</v>
      </c>
      <c r="R80" s="1" t="s">
        <v>91</v>
      </c>
      <c r="S80" s="1" t="str">
        <f ca="1">IFERROR(__xludf.DUMMYFUNCTION("GOOGLETRANSLATE(R79, ""ne"", ""en"")"),"Nepali Communist Party")</f>
        <v>Nepali Communist Party</v>
      </c>
      <c r="T80" s="1">
        <v>3217</v>
      </c>
      <c r="U80" s="1">
        <v>8.83</v>
      </c>
      <c r="V80" s="1">
        <v>21375</v>
      </c>
      <c r="W80" s="1">
        <v>58.7</v>
      </c>
      <c r="X80" s="1" t="b">
        <v>0</v>
      </c>
      <c r="Y80" s="1">
        <v>6</v>
      </c>
      <c r="Z80" s="1">
        <v>5</v>
      </c>
    </row>
    <row r="81" spans="1:26" x14ac:dyDescent="0.25">
      <c r="A81" s="1">
        <v>3</v>
      </c>
      <c r="B81" s="1" t="s">
        <v>179</v>
      </c>
      <c r="C81" s="1" t="str">
        <f ca="1">IFERROR(__xludf.DUMMYFUNCTION("GOOGLETRANSLATE(B80, ""ne"", ""en"")"),"Bagmati Province")</f>
        <v>Bagmati Province</v>
      </c>
      <c r="D81" s="1">
        <v>26</v>
      </c>
      <c r="E81" s="1" t="s">
        <v>204</v>
      </c>
      <c r="F81" s="1" t="str">
        <f ca="1">IFERROR(__xludf.DUMMYFUNCTION("GOOGLETRANSLATE(E80,""ne"", ""en"")"),"Kathmandu")</f>
        <v>Kathmandu</v>
      </c>
      <c r="G81" s="1">
        <v>9</v>
      </c>
      <c r="H81" s="1">
        <v>24</v>
      </c>
      <c r="I81" s="1">
        <v>50670</v>
      </c>
      <c r="J81" s="1" t="s">
        <v>224</v>
      </c>
      <c r="K81" s="1" t="str">
        <f ca="1">IFERROR(__xludf.DUMMYFUNCTION("GOOGLETRANSLATE(J80, ""ne"", ""en"")"),"Dol Prasad Aryal")</f>
        <v>Dol Prasad Aryal</v>
      </c>
      <c r="L81" s="1" t="s">
        <v>43</v>
      </c>
      <c r="M81" s="1" t="str">
        <f ca="1">IFERROR(__xludf.DUMMYFUNCTION("GOOGLETRANSLATE(L80, ""ne"", ""en"")"),"National Independence Party")</f>
        <v>National Independence Party</v>
      </c>
      <c r="N81" s="1">
        <v>35093</v>
      </c>
      <c r="O81" s="1">
        <v>69.260000000000005</v>
      </c>
      <c r="P81" s="1" t="s">
        <v>225</v>
      </c>
      <c r="Q81" s="1" t="str">
        <f ca="1">IFERROR(__xludf.DUMMYFUNCTION("GOOGLETRANSLATE(P80,""ne"", ""en"")"),"Nanu Maiya Bastola")</f>
        <v>Nanu Maiya Bastola</v>
      </c>
      <c r="R81" s="1" t="s">
        <v>31</v>
      </c>
      <c r="S81" s="1" t="str">
        <f ca="1">IFERROR(__xludf.DUMMYFUNCTION("GOOGLETRANSLATE(R80, ""ne"", ""en"")"),"Nepali Congress")</f>
        <v>Nepali Congress</v>
      </c>
      <c r="T81" s="1">
        <v>5460</v>
      </c>
      <c r="U81" s="1">
        <v>10.78</v>
      </c>
      <c r="V81" s="1">
        <v>29633</v>
      </c>
      <c r="W81" s="1">
        <v>58.48</v>
      </c>
      <c r="X81" s="1" t="b">
        <v>0</v>
      </c>
      <c r="Y81" s="1">
        <v>4</v>
      </c>
      <c r="Z81" s="1">
        <v>6</v>
      </c>
    </row>
    <row r="82" spans="1:26" x14ac:dyDescent="0.25">
      <c r="A82" s="1">
        <v>3</v>
      </c>
      <c r="B82" s="1" t="s">
        <v>179</v>
      </c>
      <c r="C82" s="1" t="str">
        <f ca="1">IFERROR(__xludf.DUMMYFUNCTION("GOOGLETRANSLATE(B81, ""ne"", ""en"")"),"Bagmati Province")</f>
        <v>Bagmati Province</v>
      </c>
      <c r="D82" s="1">
        <v>27</v>
      </c>
      <c r="E82" s="1" t="s">
        <v>226</v>
      </c>
      <c r="F82" s="1" t="str">
        <f ca="1">IFERROR(__xludf.DUMMYFUNCTION("GOOGLETRANSLATE(E81,""ne"", ""en"")"),"Bhaktapur")</f>
        <v>Bhaktapur</v>
      </c>
      <c r="G82" s="1">
        <v>1</v>
      </c>
      <c r="H82" s="1">
        <v>25</v>
      </c>
      <c r="I82" s="1">
        <v>74967</v>
      </c>
      <c r="J82" s="1" t="s">
        <v>227</v>
      </c>
      <c r="K82" s="1" t="str">
        <f ca="1">IFERROR(__xludf.DUMMYFUNCTION("GOOGLETRANSLATE(J81, ""ne"", ""en"")"),"Rukesh Ranjit")</f>
        <v>Rukesh Ranjit</v>
      </c>
      <c r="L82" s="1" t="s">
        <v>43</v>
      </c>
      <c r="M82" s="1" t="str">
        <f ca="1">IFERROR(__xludf.DUMMYFUNCTION("GOOGLETRANSLATE(L81, ""ne"", ""en"")"),"National Independence Party")</f>
        <v>National Independence Party</v>
      </c>
      <c r="N82" s="1">
        <v>33436</v>
      </c>
      <c r="O82" s="1">
        <v>44.6</v>
      </c>
      <c r="P82" s="1" t="s">
        <v>228</v>
      </c>
      <c r="Q82" s="1" t="str">
        <f ca="1">IFERROR(__xludf.DUMMYFUNCTION("GOOGLETRANSLATE(P81,""ne"", ""en"")"),"Prem Suwal")</f>
        <v>Prem Suwal</v>
      </c>
      <c r="R82" s="1" t="s">
        <v>229</v>
      </c>
      <c r="S82" s="1" t="str">
        <f ca="1">IFERROR(__xludf.DUMMYFUNCTION("GOOGLETRANSLATE(R81, ""ne"", ""en"")"),"Nepal Labor Farmers Party")</f>
        <v>Nepal Labor Farmers Party</v>
      </c>
      <c r="T82" s="1">
        <v>28147</v>
      </c>
      <c r="U82" s="1">
        <v>37.549999999999997</v>
      </c>
      <c r="V82" s="1">
        <v>5289</v>
      </c>
      <c r="W82" s="1">
        <v>7.06</v>
      </c>
      <c r="X82" s="1" t="b">
        <v>0</v>
      </c>
      <c r="Y82" s="1">
        <v>3</v>
      </c>
      <c r="Z82" s="1">
        <v>9</v>
      </c>
    </row>
    <row r="83" spans="1:26" x14ac:dyDescent="0.25">
      <c r="A83" s="1">
        <v>3</v>
      </c>
      <c r="B83" s="1" t="s">
        <v>179</v>
      </c>
      <c r="C83" s="1" t="str">
        <f ca="1">IFERROR(__xludf.DUMMYFUNCTION("GOOGLETRANSLATE(B82, ""ne"", ""en"")"),"Bagmati Province")</f>
        <v>Bagmati Province</v>
      </c>
      <c r="D83" s="1">
        <v>27</v>
      </c>
      <c r="E83" s="1" t="s">
        <v>226</v>
      </c>
      <c r="F83" s="1" t="str">
        <f ca="1">IFERROR(__xludf.DUMMYFUNCTION("GOOGLETRANSLATE(E82,""ne"", ""en"")"),"Bhaktapur")</f>
        <v>Bhaktapur</v>
      </c>
      <c r="G83" s="1">
        <v>2</v>
      </c>
      <c r="H83" s="1">
        <v>32</v>
      </c>
      <c r="I83" s="1">
        <v>69772</v>
      </c>
      <c r="J83" s="1" t="s">
        <v>230</v>
      </c>
      <c r="K83" s="1" t="str">
        <f ca="1">IFERROR(__xludf.DUMMYFUNCTION("GOOGLETRANSLATE(J82, ""ne"", ""en"")"),"Rajeev Khatri")</f>
        <v>Rajeev Khatri</v>
      </c>
      <c r="L83" s="1" t="s">
        <v>43</v>
      </c>
      <c r="M83" s="1" t="str">
        <f ca="1">IFERROR(__xludf.DUMMYFUNCTION("GOOGLETRANSLATE(L82, ""ne"", ""en"")"),"National Independence Party")</f>
        <v>National Independence Party</v>
      </c>
      <c r="N83" s="1">
        <v>42334</v>
      </c>
      <c r="O83" s="1">
        <v>60.67</v>
      </c>
      <c r="P83" s="1" t="s">
        <v>231</v>
      </c>
      <c r="Q83" s="1" t="str">
        <f ca="1">IFERROR(__xludf.DUMMYFUNCTION("GOOGLETRANSLATE(P82,""ne"", ""en"")"),"Mahesh Basnet")</f>
        <v>Mahesh Basnet</v>
      </c>
      <c r="R83" s="1" t="s">
        <v>29</v>
      </c>
      <c r="S83" s="1" t="str">
        <f ca="1">IFERROR(__xludf.DUMMYFUNCTION("GOOGLETRANSLATE(R82, ""ne"", ""en"")"),"Communist Party of Nepal (Unified Marxist-Leninist)")</f>
        <v>Communist Party of Nepal (Unified Marxist-Leninist)</v>
      </c>
      <c r="T83" s="1">
        <v>10996</v>
      </c>
      <c r="U83" s="1">
        <v>15.76</v>
      </c>
      <c r="V83" s="1">
        <v>31338</v>
      </c>
      <c r="W83" s="1">
        <v>44.91</v>
      </c>
      <c r="X83" s="1" t="b">
        <v>0</v>
      </c>
      <c r="Y83" s="1">
        <v>6</v>
      </c>
      <c r="Z83" s="1">
        <v>15</v>
      </c>
    </row>
    <row r="84" spans="1:26" x14ac:dyDescent="0.25">
      <c r="A84" s="1">
        <v>3</v>
      </c>
      <c r="B84" s="1" t="s">
        <v>179</v>
      </c>
      <c r="C84" s="1" t="str">
        <f ca="1">IFERROR(__xludf.DUMMYFUNCTION("GOOGLETRANSLATE(B83, ""ne"", ""en"")"),"Bagmati Province")</f>
        <v>Bagmati Province</v>
      </c>
      <c r="D84" s="1">
        <v>28</v>
      </c>
      <c r="E84" s="1" t="s">
        <v>232</v>
      </c>
      <c r="F84" s="1" t="str">
        <f ca="1">IFERROR(__xludf.DUMMYFUNCTION("GOOGLETRANSLATE(E83,""ne"", ""en"")"),"Lalitpur")</f>
        <v>Lalitpur</v>
      </c>
      <c r="G84" s="1">
        <v>1</v>
      </c>
      <c r="H84" s="1">
        <v>28</v>
      </c>
      <c r="I84" s="1">
        <v>49596</v>
      </c>
      <c r="J84" s="1" t="s">
        <v>233</v>
      </c>
      <c r="K84" s="1" t="str">
        <f ca="1">IFERROR(__xludf.DUMMYFUNCTION("GOOGLETRANSLATE(J83, ""ne"", ""en"")"),"Buddha Ratna Maharjan")</f>
        <v>Buddha Ratna Maharjan</v>
      </c>
      <c r="L84" s="1" t="s">
        <v>43</v>
      </c>
      <c r="M84" s="1" t="str">
        <f ca="1">IFERROR(__xludf.DUMMYFUNCTION("GOOGLETRANSLATE(L83, ""ne"", ""en"")"),"National Independence Party")</f>
        <v>National Independence Party</v>
      </c>
      <c r="N84" s="1">
        <v>23373</v>
      </c>
      <c r="O84" s="1">
        <v>47.13</v>
      </c>
      <c r="P84" s="1" t="s">
        <v>234</v>
      </c>
      <c r="Q84" s="1" t="str">
        <f ca="1">IFERROR(__xludf.DUMMYFUNCTION("GOOGLETRANSLATE(P83,""ne"", ""en"")"),"Uday Shansher J. B. Rana")</f>
        <v>Uday Shansher J. B. Rana</v>
      </c>
      <c r="R84" s="1" t="s">
        <v>31</v>
      </c>
      <c r="S84" s="1" t="str">
        <f ca="1">IFERROR(__xludf.DUMMYFUNCTION("GOOGLETRANSLATE(R83, ""ne"", ""en"")"),"Nepali Congress")</f>
        <v>Nepali Congress</v>
      </c>
      <c r="T84" s="1">
        <v>13520</v>
      </c>
      <c r="U84" s="1">
        <v>27.26</v>
      </c>
      <c r="V84" s="1">
        <v>9853</v>
      </c>
      <c r="W84" s="1">
        <v>19.87</v>
      </c>
      <c r="X84" s="1" t="b">
        <v>0</v>
      </c>
      <c r="Y84" s="1">
        <v>3</v>
      </c>
      <c r="Z84" s="1">
        <v>12</v>
      </c>
    </row>
    <row r="85" spans="1:26" x14ac:dyDescent="0.25">
      <c r="A85" s="1">
        <v>3</v>
      </c>
      <c r="B85" s="1" t="s">
        <v>179</v>
      </c>
      <c r="C85" s="1" t="str">
        <f ca="1">IFERROR(__xludf.DUMMYFUNCTION("GOOGLETRANSLATE(B84, ""ne"", ""en"")"),"Bagmati Province")</f>
        <v>Bagmati Province</v>
      </c>
      <c r="D85" s="1">
        <v>28</v>
      </c>
      <c r="E85" s="1" t="s">
        <v>232</v>
      </c>
      <c r="F85" s="1" t="str">
        <f ca="1">IFERROR(__xludf.DUMMYFUNCTION("GOOGLETRANSLATE(E84,""ne"", ""en"")"),"Lalitpur")</f>
        <v>Lalitpur</v>
      </c>
      <c r="G85" s="1">
        <v>2</v>
      </c>
      <c r="H85" s="1">
        <v>23</v>
      </c>
      <c r="I85" s="1">
        <v>61313</v>
      </c>
      <c r="J85" s="1" t="s">
        <v>235</v>
      </c>
      <c r="K85" s="1" t="str">
        <f ca="1">IFERROR(__xludf.DUMMYFUNCTION("GOOGLETRANSLATE(J84, ""ne"", ""en"")"),"Jagdish Kharel")</f>
        <v>Jagdish Kharel</v>
      </c>
      <c r="L85" s="1" t="s">
        <v>43</v>
      </c>
      <c r="M85" s="1" t="str">
        <f ca="1">IFERROR(__xludf.DUMMYFUNCTION("GOOGLETRANSLATE(L84, ""ne"", ""en"")"),"National Independence Party")</f>
        <v>National Independence Party</v>
      </c>
      <c r="N85" s="1">
        <v>39491</v>
      </c>
      <c r="O85" s="1">
        <v>64.41</v>
      </c>
      <c r="P85" s="1" t="s">
        <v>236</v>
      </c>
      <c r="Q85" s="1" t="str">
        <f ca="1">IFERROR(__xludf.DUMMYFUNCTION("GOOGLETRANSLATE(P84,""ne"", ""en"")"),"Prem Krishna Maharjan")</f>
        <v>Prem Krishna Maharjan</v>
      </c>
      <c r="R85" s="1" t="s">
        <v>31</v>
      </c>
      <c r="S85" s="1" t="str">
        <f ca="1">IFERROR(__xludf.DUMMYFUNCTION("GOOGLETRANSLATE(R84, ""ne"", ""en"")"),"Nepali Congress")</f>
        <v>Nepali Congress</v>
      </c>
      <c r="T85" s="1">
        <v>7420</v>
      </c>
      <c r="U85" s="1">
        <v>12.1</v>
      </c>
      <c r="V85" s="1">
        <v>32071</v>
      </c>
      <c r="W85" s="1">
        <v>52.31</v>
      </c>
      <c r="X85" s="1" t="b">
        <v>0</v>
      </c>
      <c r="Y85" s="1">
        <v>2</v>
      </c>
      <c r="Z85" s="1">
        <v>7</v>
      </c>
    </row>
    <row r="86" spans="1:26" x14ac:dyDescent="0.25">
      <c r="A86" s="1">
        <v>3</v>
      </c>
      <c r="B86" s="1" t="s">
        <v>179</v>
      </c>
      <c r="C86" s="1" t="str">
        <f ca="1">IFERROR(__xludf.DUMMYFUNCTION("GOOGLETRANSLATE(B85, ""ne"", ""en"")"),"Bagmati Province")</f>
        <v>Bagmati Province</v>
      </c>
      <c r="D86" s="1">
        <v>28</v>
      </c>
      <c r="E86" s="1" t="s">
        <v>232</v>
      </c>
      <c r="F86" s="1" t="str">
        <f ca="1">IFERROR(__xludf.DUMMYFUNCTION("GOOGLETRANSLATE(E85,""ne"", ""en"")"),"Lalitpur")</f>
        <v>Lalitpur</v>
      </c>
      <c r="G86" s="1">
        <v>3</v>
      </c>
      <c r="H86" s="1">
        <v>20</v>
      </c>
      <c r="I86" s="1">
        <v>67018</v>
      </c>
      <c r="J86" s="1" t="s">
        <v>237</v>
      </c>
      <c r="K86" s="1" t="str">
        <f ca="1">IFERROR(__xludf.DUMMYFUNCTION("GOOGLETRANSLATE(J85, ""ne"", ""en"")"),"Toshima Karki")</f>
        <v>Toshima Karki</v>
      </c>
      <c r="L86" s="1" t="s">
        <v>43</v>
      </c>
      <c r="M86" s="1" t="str">
        <f ca="1">IFERROR(__xludf.DUMMYFUNCTION("GOOGLETRANSLATE(L85, ""ne"", ""en"")"),"National Independence Party")</f>
        <v>National Independence Party</v>
      </c>
      <c r="N86" s="1">
        <v>43096</v>
      </c>
      <c r="O86" s="1">
        <v>64.31</v>
      </c>
      <c r="P86" s="1" t="s">
        <v>238</v>
      </c>
      <c r="Q86" s="1" t="str">
        <f ca="1">IFERROR(__xludf.DUMMYFUNCTION("GOOGLETRANSLATE(P85,""ne"", ""en"")"),"Jitendra Kumar Shrestha")</f>
        <v>Jitendra Kumar Shrestha</v>
      </c>
      <c r="R86" s="1" t="s">
        <v>31</v>
      </c>
      <c r="S86" s="1" t="str">
        <f ca="1">IFERROR(__xludf.DUMMYFUNCTION("GOOGLETRANSLATE(R85, ""ne"", ""en"")"),"Nepali Congress")</f>
        <v>Nepali Congress</v>
      </c>
      <c r="T86" s="1">
        <v>9045</v>
      </c>
      <c r="U86" s="1">
        <v>13.5</v>
      </c>
      <c r="V86" s="1">
        <v>34051</v>
      </c>
      <c r="W86" s="1">
        <v>50.81</v>
      </c>
      <c r="X86" s="1" t="b">
        <v>0</v>
      </c>
      <c r="Y86" s="1">
        <v>4</v>
      </c>
      <c r="Z86" s="1">
        <v>5</v>
      </c>
    </row>
    <row r="87" spans="1:26" x14ac:dyDescent="0.25">
      <c r="A87" s="1">
        <v>3</v>
      </c>
      <c r="B87" s="1" t="s">
        <v>179</v>
      </c>
      <c r="C87" s="1" t="str">
        <f ca="1">IFERROR(__xludf.DUMMYFUNCTION("GOOGLETRANSLATE(B86, ""ne"", ""en"")"),"Bagmati Province")</f>
        <v>Bagmati Province</v>
      </c>
      <c r="D87" s="1">
        <v>29</v>
      </c>
      <c r="E87" s="1" t="s">
        <v>239</v>
      </c>
      <c r="F87" s="1" t="str">
        <f ca="1">IFERROR(__xludf.DUMMYFUNCTION("GOOGLETRANSLATE(E86,""ne"", ""en"")"),"Kavrepalanchok")</f>
        <v>Kavrepalanchok</v>
      </c>
      <c r="G87" s="1">
        <v>1</v>
      </c>
      <c r="H87" s="1">
        <v>18</v>
      </c>
      <c r="I87" s="1">
        <v>86124</v>
      </c>
      <c r="J87" s="1" t="s">
        <v>240</v>
      </c>
      <c r="K87" s="1" t="str">
        <f ca="1">IFERROR(__xludf.DUMMYFUNCTION("GOOGLETRANSLATE(J86, ""ne"", ""en"")"),"Madhu Kumar Chaulagai")</f>
        <v>Madhu Kumar Chaulagai</v>
      </c>
      <c r="L87" s="1" t="s">
        <v>43</v>
      </c>
      <c r="M87" s="1" t="str">
        <f ca="1">IFERROR(__xludf.DUMMYFUNCTION("GOOGLETRANSLATE(L86, ""ne"", ""en"")"),"National Independence Party")</f>
        <v>National Independence Party</v>
      </c>
      <c r="N87" s="1">
        <v>29618</v>
      </c>
      <c r="O87" s="1">
        <v>34.39</v>
      </c>
      <c r="P87" s="1" t="s">
        <v>241</v>
      </c>
      <c r="Q87" s="1" t="str">
        <f ca="1">IFERROR(__xludf.DUMMYFUNCTION("GOOGLETRANSLATE(P86,""ne"", ""en"")"),"Gunaraj Muktan")</f>
        <v>Gunaraj Muktan</v>
      </c>
      <c r="R87" s="1" t="s">
        <v>31</v>
      </c>
      <c r="S87" s="1" t="str">
        <f ca="1">IFERROR(__xludf.DUMMYFUNCTION("GOOGLETRANSLATE(R86, ""ne"", ""en"")"),"Nepali Congress")</f>
        <v>Nepali Congress</v>
      </c>
      <c r="T87" s="1">
        <v>19166</v>
      </c>
      <c r="U87" s="1">
        <v>22.25</v>
      </c>
      <c r="V87" s="1">
        <v>10452</v>
      </c>
      <c r="W87" s="1">
        <v>12.14</v>
      </c>
      <c r="X87" s="1" t="b">
        <v>0</v>
      </c>
      <c r="Y87" s="1">
        <v>0</v>
      </c>
      <c r="Z87" s="1">
        <v>3</v>
      </c>
    </row>
    <row r="88" spans="1:26" x14ac:dyDescent="0.25">
      <c r="A88" s="1">
        <v>3</v>
      </c>
      <c r="B88" s="1" t="s">
        <v>179</v>
      </c>
      <c r="C88" s="1" t="str">
        <f ca="1">IFERROR(__xludf.DUMMYFUNCTION("GOOGLETRANSLATE(B87, ""ne"", ""en"")"),"Bagmati Province")</f>
        <v>Bagmati Province</v>
      </c>
      <c r="D88" s="1">
        <v>29</v>
      </c>
      <c r="E88" s="1" t="s">
        <v>239</v>
      </c>
      <c r="F88" s="1" t="str">
        <f ca="1">IFERROR(__xludf.DUMMYFUNCTION("GOOGLETRANSLATE(E87,""ne"", ""en"")"),"Kavrepalanchok")</f>
        <v>Kavrepalanchok</v>
      </c>
      <c r="G88" s="1">
        <v>2</v>
      </c>
      <c r="H88" s="1">
        <v>24</v>
      </c>
      <c r="I88" s="1">
        <v>99580</v>
      </c>
      <c r="J88" s="1" t="s">
        <v>242</v>
      </c>
      <c r="K88" s="1" t="str">
        <f ca="1">IFERROR(__xludf.DUMMYFUNCTION("GOOGLETRANSLATE(J87, ""ne"", ""en"")"),"Badan Kumar Bhandari")</f>
        <v>Badan Kumar Bhandari</v>
      </c>
      <c r="L88" s="1" t="s">
        <v>43</v>
      </c>
      <c r="M88" s="1" t="str">
        <f ca="1">IFERROR(__xludf.DUMMYFUNCTION("GOOGLETRANSLATE(L87, ""ne"", ""en"")"),"National Independence Party")</f>
        <v>National Independence Party</v>
      </c>
      <c r="N88" s="1">
        <v>53344</v>
      </c>
      <c r="O88" s="1">
        <v>53.57</v>
      </c>
      <c r="P88" s="1" t="s">
        <v>243</v>
      </c>
      <c r="Q88" s="1" t="str">
        <f ca="1">IFERROR(__xludf.DUMMYFUNCTION("GOOGLETRANSLATE(P87,""ne"", ""en"")"),"Madhu Prasad Acharya")</f>
        <v>Madhu Prasad Acharya</v>
      </c>
      <c r="R88" s="1" t="s">
        <v>31</v>
      </c>
      <c r="S88" s="1" t="str">
        <f ca="1">IFERROR(__xludf.DUMMYFUNCTION("GOOGLETRANSLATE(R87, ""ne"", ""en"")"),"Nepali Congress")</f>
        <v>Nepali Congress</v>
      </c>
      <c r="T88" s="1">
        <v>17868</v>
      </c>
      <c r="U88" s="1">
        <v>17.940000000000001</v>
      </c>
      <c r="V88" s="1">
        <v>35476</v>
      </c>
      <c r="W88" s="1">
        <v>35.630000000000003</v>
      </c>
      <c r="X88" s="1" t="b">
        <v>0</v>
      </c>
      <c r="Y88" s="1">
        <v>3</v>
      </c>
      <c r="Z88" s="1">
        <v>8</v>
      </c>
    </row>
    <row r="89" spans="1:26" x14ac:dyDescent="0.25">
      <c r="A89" s="1">
        <v>3</v>
      </c>
      <c r="B89" s="1" t="s">
        <v>179</v>
      </c>
      <c r="C89" s="1" t="str">
        <f ca="1">IFERROR(__xludf.DUMMYFUNCTION("GOOGLETRANSLATE(B88, ""ne"", ""en"")"),"Bagmati Province")</f>
        <v>Bagmati Province</v>
      </c>
      <c r="D89" s="1">
        <v>30</v>
      </c>
      <c r="E89" s="1" t="s">
        <v>244</v>
      </c>
      <c r="F89" s="1" t="str">
        <f ca="1">IFERROR(__xludf.DUMMYFUNCTION("GOOGLETRANSLATE(E88,""ne"", ""en"")"),"Sindhupalchowk")</f>
        <v>Sindhupalchowk</v>
      </c>
      <c r="G89" s="1">
        <v>1</v>
      </c>
      <c r="H89" s="1">
        <v>18</v>
      </c>
      <c r="I89" s="1">
        <v>69088</v>
      </c>
      <c r="J89" s="1" t="s">
        <v>245</v>
      </c>
      <c r="K89" s="1" t="str">
        <f ca="1">IFERROR(__xludf.DUMMYFUNCTION("GOOGLETRANSLATE(J88, ""ne"", ""en"")"),"Bharat Prasad Parajuli")</f>
        <v>Bharat Prasad Parajuli</v>
      </c>
      <c r="L89" s="1" t="s">
        <v>43</v>
      </c>
      <c r="M89" s="1" t="str">
        <f ca="1">IFERROR(__xludf.DUMMYFUNCTION("GOOGLETRANSLATE(L88, ""ne"", ""en"")"),"National Independence Party")</f>
        <v>National Independence Party</v>
      </c>
      <c r="N89" s="1">
        <v>24412</v>
      </c>
      <c r="O89" s="1">
        <v>35.33</v>
      </c>
      <c r="P89" s="1" t="s">
        <v>246</v>
      </c>
      <c r="Q89" s="1" t="str">
        <f ca="1">IFERROR(__xludf.DUMMYFUNCTION("GOOGLETRANSLATE(P88,""ne"", ""en"")"),"Madhav Sapkota")</f>
        <v>Madhav Sapkota</v>
      </c>
      <c r="R89" s="1" t="s">
        <v>91</v>
      </c>
      <c r="S89" s="1" t="str">
        <f ca="1">IFERROR(__xludf.DUMMYFUNCTION("GOOGLETRANSLATE(R88, ""ne"", ""en"")"),"Nepali Communist Party")</f>
        <v>Nepali Communist Party</v>
      </c>
      <c r="T89" s="1">
        <v>17327</v>
      </c>
      <c r="U89" s="1">
        <v>25.08</v>
      </c>
      <c r="V89" s="1">
        <v>7085</v>
      </c>
      <c r="W89" s="1">
        <v>10.26</v>
      </c>
      <c r="X89" s="1" t="b">
        <v>0</v>
      </c>
      <c r="Y89" s="1">
        <v>2</v>
      </c>
      <c r="Z89" s="1">
        <v>3</v>
      </c>
    </row>
    <row r="90" spans="1:26" x14ac:dyDescent="0.25">
      <c r="A90" s="1">
        <v>3</v>
      </c>
      <c r="B90" s="1" t="s">
        <v>179</v>
      </c>
      <c r="C90" s="1" t="str">
        <f ca="1">IFERROR(__xludf.DUMMYFUNCTION("GOOGLETRANSLATE(B89, ""ne"", ""en"")"),"Bagmati Province")</f>
        <v>Bagmati Province</v>
      </c>
      <c r="D90" s="1">
        <v>30</v>
      </c>
      <c r="E90" s="1" t="s">
        <v>244</v>
      </c>
      <c r="F90" s="1" t="str">
        <f ca="1">IFERROR(__xludf.DUMMYFUNCTION("GOOGLETRANSLATE(E89,""ne"", ""en"")"),"Sindhupalchowk")</f>
        <v>Sindhupalchowk</v>
      </c>
      <c r="G90" s="1">
        <v>2</v>
      </c>
      <c r="H90" s="1">
        <v>18</v>
      </c>
      <c r="I90" s="1">
        <v>74385</v>
      </c>
      <c r="J90" s="1" t="s">
        <v>247</v>
      </c>
      <c r="K90" s="1" t="str">
        <f ca="1">IFERROR(__xludf.DUMMYFUNCTION("GOOGLETRANSLATE(J89, ""ne"", ""en"")"),"Yuvraj Dulal")</f>
        <v>Yuvraj Dulal</v>
      </c>
      <c r="L90" s="1" t="s">
        <v>91</v>
      </c>
      <c r="M90" s="1" t="str">
        <f ca="1">IFERROR(__xludf.DUMMYFUNCTION("GOOGLETRANSLATE(L89, ""ne"", ""en"")"),"Nepali Communist Party")</f>
        <v>Nepali Communist Party</v>
      </c>
      <c r="N90" s="1">
        <v>21699</v>
      </c>
      <c r="O90" s="1">
        <v>29.17</v>
      </c>
      <c r="P90" s="1" t="s">
        <v>248</v>
      </c>
      <c r="Q90" s="1" t="str">
        <f ca="1">IFERROR(__xludf.DUMMYFUNCTION("GOOGLETRANSLATE(P89,""ne"", ""en"")"),"Vanshlal Tamang")</f>
        <v>Vanshlal Tamang</v>
      </c>
      <c r="R90" s="1" t="s">
        <v>31</v>
      </c>
      <c r="S90" s="1" t="str">
        <f ca="1">IFERROR(__xludf.DUMMYFUNCTION("GOOGLETRANSLATE(R89, ""ne"", ""en"")"),"Nepali Congress")</f>
        <v>Nepali Congress</v>
      </c>
      <c r="T90" s="1">
        <v>19146</v>
      </c>
      <c r="U90" s="1">
        <v>25.74</v>
      </c>
      <c r="V90" s="1">
        <v>2553</v>
      </c>
      <c r="W90" s="1">
        <v>3.43</v>
      </c>
      <c r="X90" s="1" t="b">
        <v>0</v>
      </c>
      <c r="Y90" s="1">
        <v>1</v>
      </c>
      <c r="Z90" s="1">
        <v>3</v>
      </c>
    </row>
    <row r="91" spans="1:26" x14ac:dyDescent="0.25">
      <c r="A91" s="1">
        <v>3</v>
      </c>
      <c r="B91" s="1" t="s">
        <v>179</v>
      </c>
      <c r="C91" s="1" t="str">
        <f ca="1">IFERROR(__xludf.DUMMYFUNCTION("GOOGLETRANSLATE(B90, ""ne"", ""en"")"),"Bagmati Province")</f>
        <v>Bagmati Province</v>
      </c>
      <c r="D91" s="1">
        <v>31</v>
      </c>
      <c r="E91" s="1" t="s">
        <v>249</v>
      </c>
      <c r="F91" s="1" t="str">
        <f ca="1">IFERROR(__xludf.DUMMYFUNCTION("GOOGLETRANSLATE(E90,""ne"", ""en"")"),"Makwanpur")</f>
        <v>Makwanpur</v>
      </c>
      <c r="G91" s="1">
        <v>1</v>
      </c>
      <c r="H91" s="1">
        <v>23</v>
      </c>
      <c r="I91" s="1">
        <v>90725</v>
      </c>
      <c r="J91" s="1" t="s">
        <v>250</v>
      </c>
      <c r="K91" s="1" t="str">
        <f ca="1">IFERROR(__xludf.DUMMYFUNCTION("GOOGLETRANSLATE(J90, ""ne"", ""en"")"),"Prakash Gautam")</f>
        <v>Prakash Gautam</v>
      </c>
      <c r="L91" s="1" t="s">
        <v>43</v>
      </c>
      <c r="M91" s="1" t="str">
        <f ca="1">IFERROR(__xludf.DUMMYFUNCTION("GOOGLETRANSLATE(L90, ""ne"", ""en"")"),"National Independence Party")</f>
        <v>National Independence Party</v>
      </c>
      <c r="N91" s="1">
        <v>36033</v>
      </c>
      <c r="O91" s="1">
        <v>39.72</v>
      </c>
      <c r="P91" s="1" t="s">
        <v>251</v>
      </c>
      <c r="Q91" s="1" t="str">
        <f ca="1">IFERROR(__xludf.DUMMYFUNCTION("GOOGLETRANSLATE(P90,""ne"", ""en"")"),"Mahalakshmi Upadhyay (Dina)")</f>
        <v>Mahalakshmi Upadhyay (Dina)</v>
      </c>
      <c r="R91" s="1" t="s">
        <v>31</v>
      </c>
      <c r="S91" s="1" t="str">
        <f ca="1">IFERROR(__xludf.DUMMYFUNCTION("GOOGLETRANSLATE(R90, ""ne"", ""en"")"),"Nepali Congress")</f>
        <v>Nepali Congress</v>
      </c>
      <c r="T91" s="1">
        <v>14038</v>
      </c>
      <c r="U91" s="1">
        <v>15.47</v>
      </c>
      <c r="V91" s="1">
        <v>21995</v>
      </c>
      <c r="W91" s="1">
        <v>24.24</v>
      </c>
      <c r="X91" s="1" t="b">
        <v>0</v>
      </c>
      <c r="Y91" s="1">
        <v>5</v>
      </c>
      <c r="Z91" s="1">
        <v>10</v>
      </c>
    </row>
    <row r="92" spans="1:26" x14ac:dyDescent="0.25">
      <c r="A92" s="1">
        <v>3</v>
      </c>
      <c r="B92" s="1" t="s">
        <v>179</v>
      </c>
      <c r="C92" s="1" t="str">
        <f ca="1">IFERROR(__xludf.DUMMYFUNCTION("GOOGLETRANSLATE(B91, ""ne"", ""en"")"),"Bagmati Province")</f>
        <v>Bagmati Province</v>
      </c>
      <c r="D92" s="1">
        <v>31</v>
      </c>
      <c r="E92" s="1" t="s">
        <v>249</v>
      </c>
      <c r="F92" s="1" t="str">
        <f ca="1">IFERROR(__xludf.DUMMYFUNCTION("GOOGLETRANSLATE(E91,""ne"", ""en"")"),"Makwanpur")</f>
        <v>Makwanpur</v>
      </c>
      <c r="G92" s="1">
        <v>2</v>
      </c>
      <c r="H92" s="1">
        <v>21</v>
      </c>
      <c r="I92" s="1">
        <v>85619</v>
      </c>
      <c r="J92" s="1" t="s">
        <v>252</v>
      </c>
      <c r="K92" s="1" t="str">
        <f ca="1">IFERROR(__xludf.DUMMYFUNCTION("GOOGLETRANSLATE(J91, ""ne"", ""en"")"),"Prashant Upreti")</f>
        <v>Prashant Upreti</v>
      </c>
      <c r="L92" s="1" t="s">
        <v>43</v>
      </c>
      <c r="M92" s="1" t="str">
        <f ca="1">IFERROR(__xludf.DUMMYFUNCTION("GOOGLETRANSLATE(L91, ""ne"", ""en"")"),"National Independence Party")</f>
        <v>National Independence Party</v>
      </c>
      <c r="N92" s="1">
        <v>30050</v>
      </c>
      <c r="O92" s="1">
        <v>35.1</v>
      </c>
      <c r="P92" s="1" t="s">
        <v>253</v>
      </c>
      <c r="Q92" s="1" t="str">
        <f ca="1">IFERROR(__xludf.DUMMYFUNCTION("GOOGLETRANSLATE(P91,""ne"", ""en"")"),"Mahesh Kumar Wartaula")</f>
        <v>Mahesh Kumar Wartaula</v>
      </c>
      <c r="R92" s="1" t="s">
        <v>29</v>
      </c>
      <c r="S92" s="1" t="str">
        <f ca="1">IFERROR(__xludf.DUMMYFUNCTION("GOOGLETRANSLATE(R91, ""ne"", ""en"")"),"Communist Party of Nepal (Unified Marxist-Leninist)")</f>
        <v>Communist Party of Nepal (Unified Marxist-Leninist)</v>
      </c>
      <c r="T92" s="1">
        <v>18846</v>
      </c>
      <c r="U92" s="1">
        <v>22.01</v>
      </c>
      <c r="V92" s="1">
        <v>11204</v>
      </c>
      <c r="W92" s="1">
        <v>13.09</v>
      </c>
      <c r="X92" s="1" t="b">
        <v>0</v>
      </c>
      <c r="Y92" s="1">
        <v>2</v>
      </c>
      <c r="Z92" s="1">
        <v>5</v>
      </c>
    </row>
    <row r="93" spans="1:26" x14ac:dyDescent="0.25">
      <c r="A93" s="1">
        <v>3</v>
      </c>
      <c r="B93" s="1" t="s">
        <v>179</v>
      </c>
      <c r="C93" s="1" t="str">
        <f ca="1">IFERROR(__xludf.DUMMYFUNCTION("GOOGLETRANSLATE(B92, ""ne"", ""en"")"),"Bagmati Province")</f>
        <v>Bagmati Province</v>
      </c>
      <c r="D93" s="1">
        <v>35</v>
      </c>
      <c r="E93" s="1" t="s">
        <v>254</v>
      </c>
      <c r="F93" s="1" t="str">
        <f ca="1">IFERROR(__xludf.DUMMYFUNCTION("GOOGLETRANSLATE(E92,""ne"", ""en"")"),"Chitwan")</f>
        <v>Chitwan</v>
      </c>
      <c r="G93" s="1">
        <v>1</v>
      </c>
      <c r="H93" s="1">
        <v>18</v>
      </c>
      <c r="I93" s="1">
        <v>91899</v>
      </c>
      <c r="J93" s="1" t="s">
        <v>255</v>
      </c>
      <c r="K93" s="1" t="str">
        <f ca="1">IFERROR(__xludf.DUMMYFUNCTION("GOOGLETRANSLATE(J92, ""ne"", ""en"")"),"Hari Dhakal")</f>
        <v>Hari Dhakal</v>
      </c>
      <c r="L93" s="1" t="s">
        <v>43</v>
      </c>
      <c r="M93" s="1" t="str">
        <f ca="1">IFERROR(__xludf.DUMMYFUNCTION("GOOGLETRANSLATE(L92, ""ne"", ""en"")"),"National Independence Party")</f>
        <v>National Independence Party</v>
      </c>
      <c r="N93" s="1">
        <v>58208</v>
      </c>
      <c r="O93" s="1">
        <v>63.34</v>
      </c>
      <c r="P93" s="1" t="s">
        <v>256</v>
      </c>
      <c r="Q93" s="1" t="str">
        <f ca="1">IFERROR(__xludf.DUMMYFUNCTION("GOOGLETRANSLATE(P92,""ne"", ""en"")"),"Rajendra Prasad Burlakoti")</f>
        <v>Rajendra Prasad Burlakoti</v>
      </c>
      <c r="R93" s="1" t="s">
        <v>31</v>
      </c>
      <c r="S93" s="1" t="str">
        <f ca="1">IFERROR(__xludf.DUMMYFUNCTION("GOOGLETRANSLATE(R92, ""ne"", ""en"")"),"Nepali Congress")</f>
        <v>Nepali Congress</v>
      </c>
      <c r="T93" s="1">
        <v>13033</v>
      </c>
      <c r="U93" s="1">
        <v>14.18</v>
      </c>
      <c r="V93" s="1">
        <v>45175</v>
      </c>
      <c r="W93" s="1">
        <v>49.16</v>
      </c>
      <c r="X93" s="1" t="b">
        <v>0</v>
      </c>
      <c r="Y93" s="1">
        <v>2</v>
      </c>
      <c r="Z93" s="1">
        <v>3</v>
      </c>
    </row>
    <row r="94" spans="1:26" x14ac:dyDescent="0.25">
      <c r="A94" s="1">
        <v>3</v>
      </c>
      <c r="B94" s="1" t="s">
        <v>179</v>
      </c>
      <c r="C94" s="1" t="str">
        <f ca="1">IFERROR(__xludf.DUMMYFUNCTION("GOOGLETRANSLATE(B93, ""ne"", ""en"")"),"Bagmati Province")</f>
        <v>Bagmati Province</v>
      </c>
      <c r="D94" s="1">
        <v>35</v>
      </c>
      <c r="E94" s="1" t="s">
        <v>254</v>
      </c>
      <c r="F94" s="1" t="str">
        <f ca="1">IFERROR(__xludf.DUMMYFUNCTION("GOOGLETRANSLATE(E93,""ne"", ""en"")"),"Chitwan")</f>
        <v>Chitwan</v>
      </c>
      <c r="G94" s="1">
        <v>2</v>
      </c>
      <c r="H94" s="1">
        <v>23</v>
      </c>
      <c r="I94" s="1">
        <v>84232</v>
      </c>
      <c r="J94" s="1" t="s">
        <v>257</v>
      </c>
      <c r="K94" s="1" t="str">
        <f ca="1">IFERROR(__xludf.DUMMYFUNCTION("GOOGLETRANSLATE(J93, ""ne"", ""en"")"),"Ravi Lamichhane")</f>
        <v>Ravi Lamichhane</v>
      </c>
      <c r="L94" s="1" t="s">
        <v>43</v>
      </c>
      <c r="M94" s="1" t="str">
        <f ca="1">IFERROR(__xludf.DUMMYFUNCTION("GOOGLETRANSLATE(L93, ""ne"", ""en"")"),"National Independence Party")</f>
        <v>National Independence Party</v>
      </c>
      <c r="N94" s="1">
        <v>54402</v>
      </c>
      <c r="O94" s="1">
        <v>64.59</v>
      </c>
      <c r="P94" s="1" t="s">
        <v>258</v>
      </c>
      <c r="Q94" s="1" t="str">
        <f ca="1">IFERROR(__xludf.DUMMYFUNCTION("GOOGLETRANSLATE(P93,""ne"", ""en"")"),"Meena Kumari Kharel")</f>
        <v>Meena Kumari Kharel</v>
      </c>
      <c r="R94" s="1" t="s">
        <v>31</v>
      </c>
      <c r="S94" s="1" t="str">
        <f ca="1">IFERROR(__xludf.DUMMYFUNCTION("GOOGLETRANSLATE(R93, ""ne"", ""en"")"),"Nepali Congress")</f>
        <v>Nepali Congress</v>
      </c>
      <c r="T94" s="1">
        <v>14564</v>
      </c>
      <c r="U94" s="1">
        <v>17.29</v>
      </c>
      <c r="V94" s="1">
        <v>39838</v>
      </c>
      <c r="W94" s="1">
        <v>47.3</v>
      </c>
      <c r="X94" s="1" t="b">
        <v>0</v>
      </c>
      <c r="Y94" s="1">
        <v>7</v>
      </c>
      <c r="Z94" s="1">
        <v>6</v>
      </c>
    </row>
    <row r="95" spans="1:26" x14ac:dyDescent="0.25">
      <c r="A95" s="1">
        <v>3</v>
      </c>
      <c r="B95" s="1" t="s">
        <v>179</v>
      </c>
      <c r="C95" s="1" t="str">
        <f ca="1">IFERROR(__xludf.DUMMYFUNCTION("GOOGLETRANSLATE(B94, ""ne"", ""en"")"),"Bagmati Province")</f>
        <v>Bagmati Province</v>
      </c>
      <c r="D95" s="1">
        <v>35</v>
      </c>
      <c r="E95" s="1" t="s">
        <v>254</v>
      </c>
      <c r="F95" s="1" t="str">
        <f ca="1">IFERROR(__xludf.DUMMYFUNCTION("GOOGLETRANSLATE(E94,""ne"", ""en"")"),"Chitwan")</f>
        <v>Chitwan</v>
      </c>
      <c r="G95" s="1">
        <v>3</v>
      </c>
      <c r="H95" s="1">
        <v>23</v>
      </c>
      <c r="I95" s="1">
        <v>96658</v>
      </c>
      <c r="J95" s="1" t="s">
        <v>259</v>
      </c>
      <c r="K95" s="1" t="str">
        <f ca="1">IFERROR(__xludf.DUMMYFUNCTION("GOOGLETRANSLATE(J94, ""ne"", ""en"")"),"Sovita Gautam")</f>
        <v>Sovita Gautam</v>
      </c>
      <c r="L95" s="1" t="s">
        <v>43</v>
      </c>
      <c r="M95" s="1" t="str">
        <f ca="1">IFERROR(__xludf.DUMMYFUNCTION("GOOGLETRANSLATE(L94, ""ne"", ""en"")"),"National Independence Party")</f>
        <v>National Independence Party</v>
      </c>
      <c r="N95" s="1">
        <v>59277</v>
      </c>
      <c r="O95" s="1">
        <v>61.33</v>
      </c>
      <c r="P95" s="1" t="s">
        <v>260</v>
      </c>
      <c r="Q95" s="1" t="str">
        <f ca="1">IFERROR(__xludf.DUMMYFUNCTION("GOOGLETRANSLATE(P94,""ne"", ""en"")"),"Renu Dahal")</f>
        <v>Renu Dahal</v>
      </c>
      <c r="R95" s="1" t="s">
        <v>91</v>
      </c>
      <c r="S95" s="1" t="str">
        <f ca="1">IFERROR(__xludf.DUMMYFUNCTION("GOOGLETRANSLATE(R94, ""ne"", ""en"")"),"Nepali Communist Party")</f>
        <v>Nepali Communist Party</v>
      </c>
      <c r="T95" s="1">
        <v>20615</v>
      </c>
      <c r="U95" s="1">
        <v>21.33</v>
      </c>
      <c r="V95" s="1">
        <v>38662</v>
      </c>
      <c r="W95" s="1">
        <v>40</v>
      </c>
      <c r="X95" s="1" t="b">
        <v>0</v>
      </c>
      <c r="Y95" s="1">
        <v>9</v>
      </c>
      <c r="Z95" s="1">
        <v>6</v>
      </c>
    </row>
    <row r="96" spans="1:26" x14ac:dyDescent="0.25">
      <c r="A96" s="1">
        <v>4</v>
      </c>
      <c r="B96" s="1" t="s">
        <v>261</v>
      </c>
      <c r="C96" s="1" t="str">
        <f ca="1">IFERROR(__xludf.DUMMYFUNCTION("GOOGLETRANSLATE(B95, ""ne"", ""en"")"),"Gandaki Province")</f>
        <v>Gandaki Province</v>
      </c>
      <c r="D96" s="1">
        <v>36</v>
      </c>
      <c r="E96" s="1" t="s">
        <v>262</v>
      </c>
      <c r="F96" s="1" t="str">
        <f ca="1">IFERROR(__xludf.DUMMYFUNCTION("GOOGLETRANSLATE(E95,""ne"", ""en"")"),"Gorkha")</f>
        <v>Gorkha</v>
      </c>
      <c r="G96" s="1">
        <v>1</v>
      </c>
      <c r="H96" s="1">
        <v>12</v>
      </c>
      <c r="I96" s="1">
        <v>61390</v>
      </c>
      <c r="J96" s="1" t="s">
        <v>263</v>
      </c>
      <c r="K96" s="1" t="str">
        <f ca="1">IFERROR(__xludf.DUMMYFUNCTION("GOOGLETRANSLATE(J95, ""ne"", ""en"")"),"Sudhan Gurung")</f>
        <v>Sudhan Gurung</v>
      </c>
      <c r="L96" s="1" t="s">
        <v>43</v>
      </c>
      <c r="M96" s="1" t="str">
        <f ca="1">IFERROR(__xludf.DUMMYFUNCTION("GOOGLETRANSLATE(L95, ""ne"", ""en"")"),"National Independence Party")</f>
        <v>National Independence Party</v>
      </c>
      <c r="N96" s="1">
        <v>29896</v>
      </c>
      <c r="O96" s="1">
        <v>48.7</v>
      </c>
      <c r="P96" s="1" t="s">
        <v>264</v>
      </c>
      <c r="Q96" s="1" t="str">
        <f ca="1">IFERROR(__xludf.DUMMYFUNCTION("GOOGLETRANSLATE(P95,""ne"", ""en"")"),"Prem Kumar Khatri")</f>
        <v>Prem Kumar Khatri</v>
      </c>
      <c r="R96" s="1" t="s">
        <v>31</v>
      </c>
      <c r="S96" s="1" t="str">
        <f ca="1">IFERROR(__xludf.DUMMYFUNCTION("GOOGLETRANSLATE(R95, ""ne"", ""en"")"),"Nepali Congress")</f>
        <v>Nepali Congress</v>
      </c>
      <c r="T96" s="1">
        <v>15398</v>
      </c>
      <c r="U96" s="1">
        <v>25.08</v>
      </c>
      <c r="V96" s="1">
        <v>14498</v>
      </c>
      <c r="W96" s="1">
        <v>23.62</v>
      </c>
      <c r="X96" s="1" t="b">
        <v>0</v>
      </c>
      <c r="Y96" s="1">
        <v>2</v>
      </c>
      <c r="Z96" s="1">
        <v>1</v>
      </c>
    </row>
    <row r="97" spans="1:26" x14ac:dyDescent="0.25">
      <c r="A97" s="1">
        <v>4</v>
      </c>
      <c r="B97" s="1" t="s">
        <v>261</v>
      </c>
      <c r="C97" s="1" t="str">
        <f ca="1">IFERROR(__xludf.DUMMYFUNCTION("GOOGLETRANSLATE(B96, ""ne"", ""en"")"),"Gandaki Province")</f>
        <v>Gandaki Province</v>
      </c>
      <c r="D97" s="1">
        <v>36</v>
      </c>
      <c r="E97" s="1" t="s">
        <v>262</v>
      </c>
      <c r="F97" s="1" t="str">
        <f ca="1">IFERROR(__xludf.DUMMYFUNCTION("GOOGLETRANSLATE(E96,""ne"", ""en"")"),"Gorkha")</f>
        <v>Gorkha</v>
      </c>
      <c r="G97" s="1">
        <v>2</v>
      </c>
      <c r="H97" s="1">
        <v>13</v>
      </c>
      <c r="I97" s="1">
        <v>54147</v>
      </c>
      <c r="J97" s="1" t="s">
        <v>265</v>
      </c>
      <c r="K97" s="1" t="str">
        <f ca="1">IFERROR(__xludf.DUMMYFUNCTION("GOOGLETRANSLATE(J96, ""ne"", ""en"")"),"Kavindra Burlakoti")</f>
        <v>Kavindra Burlakoti</v>
      </c>
      <c r="L97" s="1" t="s">
        <v>43</v>
      </c>
      <c r="M97" s="1" t="str">
        <f ca="1">IFERROR(__xludf.DUMMYFUNCTION("GOOGLETRANSLATE(L96, ""ne"", ""en"")"),"National Independence Party")</f>
        <v>National Independence Party</v>
      </c>
      <c r="N97" s="1">
        <v>26660</v>
      </c>
      <c r="O97" s="1">
        <v>49.24</v>
      </c>
      <c r="P97" s="1" t="s">
        <v>266</v>
      </c>
      <c r="Q97" s="1" t="str">
        <f ca="1">IFERROR(__xludf.DUMMYFUNCTION("GOOGLETRANSLATE(P96,""ne"", ""en"")"),"Prakash Chandra Dawadi")</f>
        <v>Prakash Chandra Dawadi</v>
      </c>
      <c r="R97" s="1" t="s">
        <v>31</v>
      </c>
      <c r="S97" s="1" t="str">
        <f ca="1">IFERROR(__xludf.DUMMYFUNCTION("GOOGLETRANSLATE(R96, ""ne"", ""en"")"),"Nepali Congress")</f>
        <v>Nepali Congress</v>
      </c>
      <c r="T97" s="1">
        <v>11700</v>
      </c>
      <c r="U97" s="1">
        <v>21.61</v>
      </c>
      <c r="V97" s="1">
        <v>14960</v>
      </c>
      <c r="W97" s="1">
        <v>27.63</v>
      </c>
      <c r="X97" s="1" t="b">
        <v>0</v>
      </c>
      <c r="Y97" s="1">
        <v>1</v>
      </c>
      <c r="Z97" s="1">
        <v>2</v>
      </c>
    </row>
    <row r="98" spans="1:26" x14ac:dyDescent="0.25">
      <c r="A98" s="1">
        <v>4</v>
      </c>
      <c r="B98" s="1" t="s">
        <v>261</v>
      </c>
      <c r="C98" s="1" t="str">
        <f ca="1">IFERROR(__xludf.DUMMYFUNCTION("GOOGLETRANSLATE(B97, ""ne"", ""en"")"),"Gandaki Province")</f>
        <v>Gandaki Province</v>
      </c>
      <c r="D98" s="1">
        <v>37</v>
      </c>
      <c r="E98" s="1" t="s">
        <v>267</v>
      </c>
      <c r="F98" s="1" t="str">
        <f ca="1">IFERROR(__xludf.DUMMYFUNCTION("GOOGLETRANSLATE(E97,""ne"", ""en"")"),"Manang")</f>
        <v>Manang</v>
      </c>
      <c r="G98" s="1">
        <v>1</v>
      </c>
      <c r="H98" s="1">
        <v>3</v>
      </c>
      <c r="I98" s="1">
        <v>2878</v>
      </c>
      <c r="J98" s="1" t="s">
        <v>268</v>
      </c>
      <c r="K98" s="1" t="str">
        <f ca="1">IFERROR(__xludf.DUMMYFUNCTION("GOOGLETRANSLATE(J97, ""ne"", ""en"")"),"Tek Bahadur Gurung")</f>
        <v>Tek Bahadur Gurung</v>
      </c>
      <c r="L98" s="1" t="s">
        <v>31</v>
      </c>
      <c r="M98" s="1" t="str">
        <f ca="1">IFERROR(__xludf.DUMMYFUNCTION("GOOGLETRANSLATE(L97, ""ne"", ""en"")"),"Nepali Congress")</f>
        <v>Nepali Congress</v>
      </c>
      <c r="N98" s="1">
        <v>2415</v>
      </c>
      <c r="O98" s="1">
        <v>83.91</v>
      </c>
      <c r="P98" s="1" t="s">
        <v>269</v>
      </c>
      <c r="Q98" s="1" t="str">
        <f ca="1">IFERROR(__xludf.DUMMYFUNCTION("GOOGLETRANSLATE(P97,""ne"", ""en"")"),"Yashoda Gurung (Subedi)")</f>
        <v>Yashoda Gurung (Subedi)</v>
      </c>
      <c r="R98" s="1" t="s">
        <v>91</v>
      </c>
      <c r="S98" s="1" t="str">
        <f ca="1">IFERROR(__xludf.DUMMYFUNCTION("GOOGLETRANSLATE(R97, ""ne"", ""en"")"),"Nepali Communist Party")</f>
        <v>Nepali Communist Party</v>
      </c>
      <c r="T98" s="1">
        <v>454</v>
      </c>
      <c r="U98" s="1">
        <v>15.77</v>
      </c>
      <c r="V98" s="1">
        <v>1961</v>
      </c>
      <c r="W98" s="1">
        <v>68.14</v>
      </c>
      <c r="X98" s="1" t="b">
        <v>0</v>
      </c>
      <c r="Y98" s="1">
        <v>1</v>
      </c>
      <c r="Z98" s="1">
        <v>0</v>
      </c>
    </row>
    <row r="99" spans="1:26" x14ac:dyDescent="0.25">
      <c r="A99" s="1">
        <v>4</v>
      </c>
      <c r="B99" s="1" t="s">
        <v>261</v>
      </c>
      <c r="C99" s="1" t="str">
        <f ca="1">IFERROR(__xludf.DUMMYFUNCTION("GOOGLETRANSLATE(B98, ""ne"", ""en"")"),"Gandaki Province")</f>
        <v>Gandaki Province</v>
      </c>
      <c r="D99" s="1">
        <v>38</v>
      </c>
      <c r="E99" s="1" t="s">
        <v>270</v>
      </c>
      <c r="F99" s="1" t="str">
        <f ca="1">IFERROR(__xludf.DUMMYFUNCTION("GOOGLETRANSLATE(E98,""ne"", ""en"")"),"Lamjung")</f>
        <v>Lamjung</v>
      </c>
      <c r="G99" s="1">
        <v>1</v>
      </c>
      <c r="H99" s="1">
        <v>12</v>
      </c>
      <c r="I99" s="1">
        <v>73010</v>
      </c>
      <c r="J99" s="1" t="s">
        <v>271</v>
      </c>
      <c r="K99" s="1" t="str">
        <f ca="1">IFERROR(__xludf.DUMMYFUNCTION("GOOGLETRANSLATE(J98, ""ne"", ""en"")"),"Dharma Raj K.C")</f>
        <v>Dharma Raj K.C</v>
      </c>
      <c r="L99" s="1" t="s">
        <v>43</v>
      </c>
      <c r="M99" s="1" t="str">
        <f ca="1">IFERROR(__xludf.DUMMYFUNCTION("GOOGLETRANSLATE(L98, ""ne"", ""en"")"),"National Independence Party")</f>
        <v>National Independence Party</v>
      </c>
      <c r="N99" s="1">
        <v>33898</v>
      </c>
      <c r="O99" s="1">
        <v>46.43</v>
      </c>
      <c r="P99" s="1" t="s">
        <v>272</v>
      </c>
      <c r="Q99" s="1" t="str">
        <f ca="1">IFERROR(__xludf.DUMMYFUNCTION("GOOGLETRANSLATE(P98,""ne"", ""en"")"),"Prithvi Subba Gurung")</f>
        <v>Prithvi Subba Gurung</v>
      </c>
      <c r="R99" s="1" t="s">
        <v>29</v>
      </c>
      <c r="S99" s="1" t="str">
        <f ca="1">IFERROR(__xludf.DUMMYFUNCTION("GOOGLETRANSLATE(R98, ""ne"", ""en"")"),"Communist Party of Nepal (Unified Marxist-Leninist)")</f>
        <v>Communist Party of Nepal (Unified Marxist-Leninist)</v>
      </c>
      <c r="T99" s="1">
        <v>16876</v>
      </c>
      <c r="U99" s="1">
        <v>23.11</v>
      </c>
      <c r="V99" s="1">
        <v>17022</v>
      </c>
      <c r="W99" s="1">
        <v>23.31</v>
      </c>
      <c r="X99" s="1" t="b">
        <v>0</v>
      </c>
      <c r="Y99" s="1">
        <v>1</v>
      </c>
      <c r="Z99" s="1">
        <v>1</v>
      </c>
    </row>
    <row r="100" spans="1:26" x14ac:dyDescent="0.25">
      <c r="A100" s="1">
        <v>4</v>
      </c>
      <c r="B100" s="1" t="s">
        <v>261</v>
      </c>
      <c r="C100" s="1" t="str">
        <f ca="1">IFERROR(__xludf.DUMMYFUNCTION("GOOGLETRANSLATE(B99, ""ne"", ""en"")"),"Gandaki Province")</f>
        <v>Gandaki Province</v>
      </c>
      <c r="D100" s="1">
        <v>39</v>
      </c>
      <c r="E100" s="1" t="s">
        <v>273</v>
      </c>
      <c r="F100" s="1" t="str">
        <f ca="1">IFERROR(__xludf.DUMMYFUNCTION("GOOGLETRANSLATE(E99,""ne"", ""en"")"),"Kaski")</f>
        <v>Kaski</v>
      </c>
      <c r="G100" s="1">
        <v>1</v>
      </c>
      <c r="H100" s="1">
        <v>17</v>
      </c>
      <c r="I100" s="1">
        <v>67410</v>
      </c>
      <c r="J100" s="1" t="s">
        <v>274</v>
      </c>
      <c r="K100" s="1" t="str">
        <f ca="1">IFERROR(__xludf.DUMMYFUNCTION("GOOGLETRANSLATE(J99, ""ne"", ""en"")"),"Khadak Raj Poudel")</f>
        <v>Khadak Raj Poudel</v>
      </c>
      <c r="L100" s="1" t="s">
        <v>43</v>
      </c>
      <c r="M100" s="1" t="str">
        <f ca="1">IFERROR(__xludf.DUMMYFUNCTION("GOOGLETRANSLATE(L99, ""ne"", ""en"")"),"National Independence Party")</f>
        <v>National Independence Party</v>
      </c>
      <c r="N100" s="1">
        <v>39883</v>
      </c>
      <c r="O100" s="1">
        <v>59.16</v>
      </c>
      <c r="P100" s="1" t="s">
        <v>275</v>
      </c>
      <c r="Q100" s="1" t="str">
        <f ca="1">IFERROR(__xludf.DUMMYFUNCTION("GOOGLETRANSLATE(P99,""ne"", ""en"")"),"Tilak Bahadur Ranabhat")</f>
        <v>Tilak Bahadur Ranabhat</v>
      </c>
      <c r="R100" s="1" t="s">
        <v>31</v>
      </c>
      <c r="S100" s="1" t="str">
        <f ca="1">IFERROR(__xludf.DUMMYFUNCTION("GOOGLETRANSLATE(R99, ""ne"", ""en"")"),"Nepali Congress")</f>
        <v>Nepali Congress</v>
      </c>
      <c r="T100" s="1">
        <v>11214</v>
      </c>
      <c r="U100" s="1">
        <v>16.64</v>
      </c>
      <c r="V100" s="1">
        <v>28669</v>
      </c>
      <c r="W100" s="1">
        <v>42.53</v>
      </c>
      <c r="X100" s="1" t="b">
        <v>0</v>
      </c>
      <c r="Y100" s="1">
        <v>1</v>
      </c>
      <c r="Z100" s="1">
        <v>1</v>
      </c>
    </row>
    <row r="101" spans="1:26" x14ac:dyDescent="0.25">
      <c r="A101" s="1">
        <v>4</v>
      </c>
      <c r="B101" s="1" t="s">
        <v>261</v>
      </c>
      <c r="C101" s="1" t="str">
        <f ca="1">IFERROR(__xludf.DUMMYFUNCTION("GOOGLETRANSLATE(B100, ""ne"", ""en"")"),"Gandaki Province")</f>
        <v>Gandaki Province</v>
      </c>
      <c r="D101" s="1">
        <v>39</v>
      </c>
      <c r="E101" s="1" t="s">
        <v>273</v>
      </c>
      <c r="F101" s="1" t="str">
        <f ca="1">IFERROR(__xludf.DUMMYFUNCTION("GOOGLETRANSLATE(E100,""ne"", ""en"")"),"Kaski")</f>
        <v>Kaski</v>
      </c>
      <c r="G101" s="1">
        <v>2</v>
      </c>
      <c r="H101" s="1">
        <v>17</v>
      </c>
      <c r="I101" s="1">
        <v>50675</v>
      </c>
      <c r="J101" s="1" t="s">
        <v>276</v>
      </c>
      <c r="K101" s="1" t="str">
        <f ca="1">IFERROR(__xludf.DUMMYFUNCTION("GOOGLETRANSLATE(J100, ""ne"", ""en"")"),"Uttam Prasad Poudel")</f>
        <v>Uttam Prasad Poudel</v>
      </c>
      <c r="L101" s="1" t="s">
        <v>43</v>
      </c>
      <c r="M101" s="1" t="str">
        <f ca="1">IFERROR(__xludf.DUMMYFUNCTION("GOOGLETRANSLATE(L100, ""ne"", ""en"")"),"National Independence Party")</f>
        <v>National Independence Party</v>
      </c>
      <c r="N101" s="1">
        <v>31911</v>
      </c>
      <c r="O101" s="1">
        <v>62.97</v>
      </c>
      <c r="P101" s="1" t="s">
        <v>277</v>
      </c>
      <c r="Q101" s="1" t="str">
        <f ca="1">IFERROR(__xludf.DUMMYFUNCTION("GOOGLETRANSLATE(P100,""ne"", ""en"")"),"Rashmi Acharya")</f>
        <v>Rashmi Acharya</v>
      </c>
      <c r="R101" s="1" t="s">
        <v>29</v>
      </c>
      <c r="S101" s="1" t="str">
        <f ca="1">IFERROR(__xludf.DUMMYFUNCTION("GOOGLETRANSLATE(R100, ""ne"", ""en"")"),"Communist Party of Nepal (Unified Marxist-Leninist)")</f>
        <v>Communist Party of Nepal (Unified Marxist-Leninist)</v>
      </c>
      <c r="T101" s="1">
        <v>7493</v>
      </c>
      <c r="U101" s="1">
        <v>14.79</v>
      </c>
      <c r="V101" s="1">
        <v>24418</v>
      </c>
      <c r="W101" s="1">
        <v>48.19</v>
      </c>
      <c r="X101" s="1" t="b">
        <v>0</v>
      </c>
      <c r="Y101" s="1">
        <v>1</v>
      </c>
      <c r="Z101" s="1">
        <v>5</v>
      </c>
    </row>
    <row r="102" spans="1:26" x14ac:dyDescent="0.25">
      <c r="A102" s="1">
        <v>4</v>
      </c>
      <c r="B102" s="1" t="s">
        <v>261</v>
      </c>
      <c r="C102" s="1" t="str">
        <f ca="1">IFERROR(__xludf.DUMMYFUNCTION("GOOGLETRANSLATE(B101, ""ne"", ""en"")"),"Gandaki Province")</f>
        <v>Gandaki Province</v>
      </c>
      <c r="D102" s="1">
        <v>39</v>
      </c>
      <c r="E102" s="1" t="s">
        <v>273</v>
      </c>
      <c r="F102" s="1" t="str">
        <f ca="1">IFERROR(__xludf.DUMMYFUNCTION("GOOGLETRANSLATE(E101,""ne"", ""en"")"),"Kaski")</f>
        <v>Kaski</v>
      </c>
      <c r="G102" s="1">
        <v>3</v>
      </c>
      <c r="H102" s="1">
        <v>15</v>
      </c>
      <c r="I102" s="1">
        <v>62649</v>
      </c>
      <c r="J102" s="1" t="s">
        <v>278</v>
      </c>
      <c r="K102" s="1" t="str">
        <f ca="1">IFERROR(__xludf.DUMMYFUNCTION("GOOGLETRANSLATE(J101, ""ne"", ""en"")"),"Without Gurung")</f>
        <v>Without Gurung</v>
      </c>
      <c r="L102" s="1" t="s">
        <v>43</v>
      </c>
      <c r="M102" s="1" t="str">
        <f ca="1">IFERROR(__xludf.DUMMYFUNCTION("GOOGLETRANSLATE(L101, ""ne"", ""en"")"),"National Independence Party")</f>
        <v>National Independence Party</v>
      </c>
      <c r="N102" s="1">
        <v>37750</v>
      </c>
      <c r="O102" s="1">
        <v>60.26</v>
      </c>
      <c r="P102" s="1" t="s">
        <v>279</v>
      </c>
      <c r="Q102" s="1" t="str">
        <f ca="1">IFERROR(__xludf.DUMMYFUNCTION("GOOGLETRANSLATE(P101,""ne"", ""en"")"),"Manoj Gurung")</f>
        <v>Manoj Gurung</v>
      </c>
      <c r="R102" s="1" t="s">
        <v>31</v>
      </c>
      <c r="S102" s="1" t="str">
        <f ca="1">IFERROR(__xludf.DUMMYFUNCTION("GOOGLETRANSLATE(R101, ""ne"", ""en"")"),"Nepali Congress")</f>
        <v>Nepali Congress</v>
      </c>
      <c r="T102" s="1">
        <v>12780</v>
      </c>
      <c r="U102" s="1">
        <v>20.399999999999999</v>
      </c>
      <c r="V102" s="1">
        <v>24970</v>
      </c>
      <c r="W102" s="1">
        <v>39.86</v>
      </c>
      <c r="X102" s="1" t="b">
        <v>0</v>
      </c>
      <c r="Y102" s="1">
        <v>3</v>
      </c>
      <c r="Z102" s="1">
        <v>0</v>
      </c>
    </row>
    <row r="103" spans="1:26" x14ac:dyDescent="0.25">
      <c r="A103" s="1">
        <v>4</v>
      </c>
      <c r="B103" s="1" t="s">
        <v>261</v>
      </c>
      <c r="C103" s="1" t="str">
        <f ca="1">IFERROR(__xludf.DUMMYFUNCTION("GOOGLETRANSLATE(B102, ""ne"", ""en"")"),"Gandaki Province")</f>
        <v>Gandaki Province</v>
      </c>
      <c r="D103" s="1">
        <v>40</v>
      </c>
      <c r="E103" s="1" t="s">
        <v>280</v>
      </c>
      <c r="F103" s="1" t="str">
        <f ca="1">IFERROR(__xludf.DUMMYFUNCTION("GOOGLETRANSLATE(E102,""ne"", ""en"")"),"Tanahun")</f>
        <v>Tanahun</v>
      </c>
      <c r="G103" s="1">
        <v>1</v>
      </c>
      <c r="H103" s="1">
        <v>16</v>
      </c>
      <c r="I103" s="1">
        <v>65419</v>
      </c>
      <c r="J103" s="1" t="s">
        <v>281</v>
      </c>
      <c r="K103" s="1" t="str">
        <f ca="1">IFERROR(__xludf.DUMMYFUNCTION("GOOGLETRANSLATE(J102, ""ne"", ""en"")"),"Swarnim Wagle")</f>
        <v>Swarnim Wagle</v>
      </c>
      <c r="L103" s="1" t="s">
        <v>43</v>
      </c>
      <c r="M103" s="1" t="str">
        <f ca="1">IFERROR(__xludf.DUMMYFUNCTION("GOOGLETRANSLATE(L102, ""ne"", ""en"")"),"National Independence Party")</f>
        <v>National Independence Party</v>
      </c>
      <c r="N103" s="1">
        <v>38040</v>
      </c>
      <c r="O103" s="1">
        <v>58.15</v>
      </c>
      <c r="P103" s="1" t="s">
        <v>282</v>
      </c>
      <c r="Q103" s="1" t="str">
        <f ca="1">IFERROR(__xludf.DUMMYFUNCTION("GOOGLETRANSLATE(P102,""ne"", ""en"")"),"Govinda Bhattarai")</f>
        <v>Govinda Bhattarai</v>
      </c>
      <c r="R103" s="1" t="s">
        <v>31</v>
      </c>
      <c r="S103" s="1" t="str">
        <f ca="1">IFERROR(__xludf.DUMMYFUNCTION("GOOGLETRANSLATE(R102, ""ne"", ""en"")"),"Nepali Congress")</f>
        <v>Nepali Congress</v>
      </c>
      <c r="T103" s="1">
        <v>16231</v>
      </c>
      <c r="U103" s="1">
        <v>24.81</v>
      </c>
      <c r="V103" s="1">
        <v>21809</v>
      </c>
      <c r="W103" s="1">
        <v>33.340000000000003</v>
      </c>
      <c r="X103" s="1" t="b">
        <v>0</v>
      </c>
      <c r="Y103" s="1">
        <v>3</v>
      </c>
      <c r="Z103" s="1">
        <v>3</v>
      </c>
    </row>
    <row r="104" spans="1:26" x14ac:dyDescent="0.25">
      <c r="A104" s="1">
        <v>4</v>
      </c>
      <c r="B104" s="1" t="s">
        <v>261</v>
      </c>
      <c r="C104" s="1" t="str">
        <f ca="1">IFERROR(__xludf.DUMMYFUNCTION("GOOGLETRANSLATE(B103, ""ne"", ""en"")"),"Gandaki Province")</f>
        <v>Gandaki Province</v>
      </c>
      <c r="D104" s="1">
        <v>40</v>
      </c>
      <c r="E104" s="1" t="s">
        <v>280</v>
      </c>
      <c r="F104" s="1" t="str">
        <f ca="1">IFERROR(__xludf.DUMMYFUNCTION("GOOGLETRANSLATE(E103,""ne"", ""en"")"),"Tanahun")</f>
        <v>Tanahun</v>
      </c>
      <c r="G104" s="1">
        <v>2</v>
      </c>
      <c r="H104" s="1">
        <v>11</v>
      </c>
      <c r="I104" s="1">
        <v>62579</v>
      </c>
      <c r="J104" s="1" t="s">
        <v>283</v>
      </c>
      <c r="K104" s="1" t="str">
        <f ca="1">IFERROR(__xludf.DUMMYFUNCTION("GOOGLETRANSLATE(J103, ""ne"", ""en"")"),"Shriram Neupane")</f>
        <v>Shriram Neupane</v>
      </c>
      <c r="L104" s="1" t="s">
        <v>43</v>
      </c>
      <c r="M104" s="1" t="str">
        <f ca="1">IFERROR(__xludf.DUMMYFUNCTION("GOOGLETRANSLATE(L103, ""ne"", ""en"")"),"National Independence Party")</f>
        <v>National Independence Party</v>
      </c>
      <c r="N104" s="1">
        <v>32687</v>
      </c>
      <c r="O104" s="1">
        <v>52.23</v>
      </c>
      <c r="P104" s="1" t="s">
        <v>284</v>
      </c>
      <c r="Q104" s="1" t="str">
        <f ca="1">IFERROR(__xludf.DUMMYFUNCTION("GOOGLETRANSLATE(P103,""ne"", ""en"")"),"Shankar Bhandari")</f>
        <v>Shankar Bhandari</v>
      </c>
      <c r="R104" s="1" t="s">
        <v>31</v>
      </c>
      <c r="S104" s="1" t="str">
        <f ca="1">IFERROR(__xludf.DUMMYFUNCTION("GOOGLETRANSLATE(R103, ""ne"", ""en"")"),"Nepali Congress")</f>
        <v>Nepali Congress</v>
      </c>
      <c r="T104" s="1">
        <v>14135</v>
      </c>
      <c r="U104" s="1">
        <v>22.59</v>
      </c>
      <c r="V104" s="1">
        <v>18552</v>
      </c>
      <c r="W104" s="1">
        <v>29.65</v>
      </c>
      <c r="X104" s="1" t="b">
        <v>0</v>
      </c>
      <c r="Y104" s="1">
        <v>1</v>
      </c>
      <c r="Z104" s="1">
        <v>0</v>
      </c>
    </row>
    <row r="105" spans="1:26" x14ac:dyDescent="0.25">
      <c r="A105" s="1">
        <v>4</v>
      </c>
      <c r="B105" s="1" t="s">
        <v>261</v>
      </c>
      <c r="C105" s="1" t="str">
        <f ca="1">IFERROR(__xludf.DUMMYFUNCTION("GOOGLETRANSLATE(B104, ""ne"", ""en"")"),"Gandaki Province")</f>
        <v>Gandaki Province</v>
      </c>
      <c r="D105" s="1">
        <v>41</v>
      </c>
      <c r="E105" s="1" t="s">
        <v>285</v>
      </c>
      <c r="F105" s="1" t="str">
        <f ca="1">IFERROR(__xludf.DUMMYFUNCTION("GOOGLETRANSLATE(E104,""ne"", ""en"")"),"Syangja")</f>
        <v>Syangja</v>
      </c>
      <c r="G105" s="1">
        <v>1</v>
      </c>
      <c r="H105" s="1">
        <v>12</v>
      </c>
      <c r="I105" s="1">
        <v>68036</v>
      </c>
      <c r="J105" s="1" t="s">
        <v>286</v>
      </c>
      <c r="K105" s="1" t="str">
        <f ca="1">IFERROR(__xludf.DUMMYFUNCTION("GOOGLETRANSLATE(J104, ""ne"", ""en"")"),"Dhananjay Regmi")</f>
        <v>Dhananjay Regmi</v>
      </c>
      <c r="L105" s="1" t="s">
        <v>43</v>
      </c>
      <c r="M105" s="1" t="str">
        <f ca="1">IFERROR(__xludf.DUMMYFUNCTION("GOOGLETRANSLATE(L104, ""ne"", ""en"")"),"National Independence Party")</f>
        <v>National Independence Party</v>
      </c>
      <c r="N105" s="1">
        <v>29071</v>
      </c>
      <c r="O105" s="1">
        <v>42.73</v>
      </c>
      <c r="P105" s="1" t="s">
        <v>287</v>
      </c>
      <c r="Q105" s="1" t="str">
        <f ca="1">IFERROR(__xludf.DUMMYFUNCTION("GOOGLETRANSLATE(P104,""ne"", ""en"")"),"Bharat Raj Dhakal")</f>
        <v>Bharat Raj Dhakal</v>
      </c>
      <c r="R105" s="1" t="s">
        <v>31</v>
      </c>
      <c r="S105" s="1" t="str">
        <f ca="1">IFERROR(__xludf.DUMMYFUNCTION("GOOGLETRANSLATE(R104, ""ne"", ""en"")"),"Nepali Congress")</f>
        <v>Nepali Congress</v>
      </c>
      <c r="T105" s="1">
        <v>18857</v>
      </c>
      <c r="U105" s="1">
        <v>27.72</v>
      </c>
      <c r="V105" s="1">
        <v>10214</v>
      </c>
      <c r="W105" s="1">
        <v>15.01</v>
      </c>
      <c r="X105" s="1" t="b">
        <v>0</v>
      </c>
      <c r="Y105" s="1">
        <v>0</v>
      </c>
      <c r="Z105" s="1">
        <v>1</v>
      </c>
    </row>
    <row r="106" spans="1:26" x14ac:dyDescent="0.25">
      <c r="A106" s="1">
        <v>4</v>
      </c>
      <c r="B106" s="1" t="s">
        <v>261</v>
      </c>
      <c r="C106" s="1" t="str">
        <f ca="1">IFERROR(__xludf.DUMMYFUNCTION("GOOGLETRANSLATE(B105, ""ne"", ""en"")"),"Gandaki Province")</f>
        <v>Gandaki Province</v>
      </c>
      <c r="D106" s="1">
        <v>41</v>
      </c>
      <c r="E106" s="1" t="s">
        <v>285</v>
      </c>
      <c r="F106" s="1" t="str">
        <f ca="1">IFERROR(__xludf.DUMMYFUNCTION("GOOGLETRANSLATE(E105,""ne"", ""en"")"),"Syangja")</f>
        <v>Syangja</v>
      </c>
      <c r="G106" s="1">
        <v>2</v>
      </c>
      <c r="H106" s="1">
        <v>12</v>
      </c>
      <c r="I106" s="1">
        <v>62266</v>
      </c>
      <c r="J106" s="1" t="s">
        <v>288</v>
      </c>
      <c r="K106" s="1" t="str">
        <f ca="1">IFERROR(__xludf.DUMMYFUNCTION("GOOGLETRANSLATE(J105, ""ne"", ""en"")"),"Jhavi Lal Dumre")</f>
        <v>Jhavi Lal Dumre</v>
      </c>
      <c r="L106" s="1" t="s">
        <v>43</v>
      </c>
      <c r="M106" s="1" t="str">
        <f ca="1">IFERROR(__xludf.DUMMYFUNCTION("GOOGLETRANSLATE(L105, ""ne"", ""en"")"),"National Independence Party")</f>
        <v>National Independence Party</v>
      </c>
      <c r="N106" s="1">
        <v>25354</v>
      </c>
      <c r="O106" s="1">
        <v>40.72</v>
      </c>
      <c r="P106" s="1" t="s">
        <v>289</v>
      </c>
      <c r="Q106" s="1" t="str">
        <f ca="1">IFERROR(__xludf.DUMMYFUNCTION("GOOGLETRANSLATE(P105,""ne"", ""en"")"),"Bhagwat Prakash Malla")</f>
        <v>Bhagwat Prakash Malla</v>
      </c>
      <c r="R106" s="1" t="s">
        <v>31</v>
      </c>
      <c r="S106" s="1" t="str">
        <f ca="1">IFERROR(__xludf.DUMMYFUNCTION("GOOGLETRANSLATE(R105, ""ne"", ""en"")"),"Nepali Congress")</f>
        <v>Nepali Congress</v>
      </c>
      <c r="T106" s="1">
        <v>20830</v>
      </c>
      <c r="U106" s="1">
        <v>33.450000000000003</v>
      </c>
      <c r="V106" s="1">
        <v>4524</v>
      </c>
      <c r="W106" s="1">
        <v>7.27</v>
      </c>
      <c r="X106" s="1" t="b">
        <v>0</v>
      </c>
      <c r="Y106" s="1">
        <v>0</v>
      </c>
      <c r="Z106" s="1">
        <v>2</v>
      </c>
    </row>
    <row r="107" spans="1:26" x14ac:dyDescent="0.25">
      <c r="A107" s="1">
        <v>4</v>
      </c>
      <c r="B107" s="1" t="s">
        <v>261</v>
      </c>
      <c r="C107" s="1" t="str">
        <f ca="1">IFERROR(__xludf.DUMMYFUNCTION("GOOGLETRANSLATE(B106, ""ne"", ""en"")"),"Gandaki Province")</f>
        <v>Gandaki Province</v>
      </c>
      <c r="D107" s="1">
        <v>45</v>
      </c>
      <c r="E107" s="1" t="s">
        <v>290</v>
      </c>
      <c r="F107" s="1" t="str">
        <f ca="1">IFERROR(__xludf.DUMMYFUNCTION("GOOGLETRANSLATE(E106,""ne"", ""en"")"),"Nawalparasi (East of Bardaghat Susta)")</f>
        <v>Nawalparasi (East of Bardaghat Susta)</v>
      </c>
      <c r="G107" s="1">
        <v>1</v>
      </c>
      <c r="H107" s="1">
        <v>16</v>
      </c>
      <c r="I107" s="1">
        <v>81558</v>
      </c>
      <c r="J107" s="1" t="s">
        <v>291</v>
      </c>
      <c r="K107" s="1" t="str">
        <f ca="1">IFERROR(__xludf.DUMMYFUNCTION("GOOGLETRANSLATE(J106, ""ne"", ""en"")"),"Rajan Gautam")</f>
        <v>Rajan Gautam</v>
      </c>
      <c r="L107" s="1" t="s">
        <v>43</v>
      </c>
      <c r="M107" s="1" t="str">
        <f ca="1">IFERROR(__xludf.DUMMYFUNCTION("GOOGLETRANSLATE(L106, ""ne"", ""en"")"),"National Independence Party")</f>
        <v>National Independence Party</v>
      </c>
      <c r="N107" s="1">
        <v>50945</v>
      </c>
      <c r="O107" s="1">
        <v>62.46</v>
      </c>
      <c r="P107" s="1" t="s">
        <v>292</v>
      </c>
      <c r="Q107" s="1" t="str">
        <f ca="1">IFERROR(__xludf.DUMMYFUNCTION("GOOGLETRANSLATE(P106,""ne"", ""en"")"),"Bal Krishna Ghimire")</f>
        <v>Bal Krishna Ghimire</v>
      </c>
      <c r="R107" s="1" t="s">
        <v>31</v>
      </c>
      <c r="S107" s="1" t="str">
        <f ca="1">IFERROR(__xludf.DUMMYFUNCTION("GOOGLETRANSLATE(R106, ""ne"", ""en"")"),"Nepali Congress")</f>
        <v>Nepali Congress</v>
      </c>
      <c r="T107" s="1">
        <v>16293</v>
      </c>
      <c r="U107" s="1">
        <v>19.98</v>
      </c>
      <c r="V107" s="1">
        <v>34652</v>
      </c>
      <c r="W107" s="1">
        <v>42.49</v>
      </c>
      <c r="X107" s="1" t="b">
        <v>0</v>
      </c>
      <c r="Y107" s="1">
        <v>2</v>
      </c>
      <c r="Z107" s="1">
        <v>3</v>
      </c>
    </row>
    <row r="108" spans="1:26" x14ac:dyDescent="0.25">
      <c r="A108" s="1">
        <v>4</v>
      </c>
      <c r="B108" s="1" t="s">
        <v>261</v>
      </c>
      <c r="C108" s="1" t="str">
        <f ca="1">IFERROR(__xludf.DUMMYFUNCTION("GOOGLETRANSLATE(B107, ""ne"", ""en"")"),"Gandaki Province")</f>
        <v>Gandaki Province</v>
      </c>
      <c r="D108" s="1">
        <v>45</v>
      </c>
      <c r="E108" s="1" t="s">
        <v>290</v>
      </c>
      <c r="F108" s="1" t="str">
        <f ca="1">IFERROR(__xludf.DUMMYFUNCTION("GOOGLETRANSLATE(E107,""ne"", ""en"")"),"Nawalparasi (East of Bardaghat Susta)")</f>
        <v>Nawalparasi (East of Bardaghat Susta)</v>
      </c>
      <c r="G108" s="1">
        <v>2</v>
      </c>
      <c r="H108" s="1">
        <v>18</v>
      </c>
      <c r="I108" s="1">
        <v>76230</v>
      </c>
      <c r="J108" s="1" t="s">
        <v>293</v>
      </c>
      <c r="K108" s="1" t="str">
        <f ca="1">IFERROR(__xludf.DUMMYFUNCTION("GOOGLETRANSLATE(J107, ""ne"", ""en"")"),"Manish Khanal")</f>
        <v>Manish Khanal</v>
      </c>
      <c r="L108" s="1" t="s">
        <v>43</v>
      </c>
      <c r="M108" s="1" t="str">
        <f ca="1">IFERROR(__xludf.DUMMYFUNCTION("GOOGLETRANSLATE(L107, ""ne"", ""en"")"),"National Independence Party")</f>
        <v>National Independence Party</v>
      </c>
      <c r="N108" s="1">
        <v>41347</v>
      </c>
      <c r="O108" s="1">
        <v>54.24</v>
      </c>
      <c r="P108" s="1" t="s">
        <v>294</v>
      </c>
      <c r="Q108" s="1" t="str">
        <f ca="1">IFERROR(__xludf.DUMMYFUNCTION("GOOGLETRANSLATE(P107,""ne"", ""en"")"),"Til Bahadur Mahat Chhetri")</f>
        <v>Til Bahadur Mahat Chhetri</v>
      </c>
      <c r="R108" s="1" t="s">
        <v>29</v>
      </c>
      <c r="S108" s="1" t="str">
        <f ca="1">IFERROR(__xludf.DUMMYFUNCTION("GOOGLETRANSLATE(R107, ""ne"", ""en"")"),"Communist Party of Nepal (Unified Marxist-Leninist)")</f>
        <v>Communist Party of Nepal (Unified Marxist-Leninist)</v>
      </c>
      <c r="T108" s="1">
        <v>15755</v>
      </c>
      <c r="U108" s="1">
        <v>20.67</v>
      </c>
      <c r="V108" s="1">
        <v>25592</v>
      </c>
      <c r="W108" s="1">
        <v>33.57</v>
      </c>
      <c r="X108" s="1" t="b">
        <v>0</v>
      </c>
      <c r="Y108" s="1">
        <v>5</v>
      </c>
      <c r="Z108" s="1">
        <v>6</v>
      </c>
    </row>
    <row r="109" spans="1:26" x14ac:dyDescent="0.25">
      <c r="A109" s="1">
        <v>4</v>
      </c>
      <c r="B109" s="1" t="s">
        <v>261</v>
      </c>
      <c r="C109" s="1" t="str">
        <f ca="1">IFERROR(__xludf.DUMMYFUNCTION("GOOGLETRANSLATE(B108, ""ne"", ""en"")"),"Gandaki Province")</f>
        <v>Gandaki Province</v>
      </c>
      <c r="D109" s="1">
        <v>48</v>
      </c>
      <c r="E109" s="1" t="s">
        <v>295</v>
      </c>
      <c r="F109" s="1" t="str">
        <f ca="1">IFERROR(__xludf.DUMMYFUNCTION("GOOGLETRANSLATE(E108,""ne"", ""en"")"),"Mustang")</f>
        <v>Mustang</v>
      </c>
      <c r="G109" s="1">
        <v>1</v>
      </c>
      <c r="H109" s="1">
        <v>8</v>
      </c>
      <c r="I109" s="1">
        <v>6281</v>
      </c>
      <c r="J109" s="1" t="s">
        <v>296</v>
      </c>
      <c r="K109" s="1" t="str">
        <f ca="1">IFERROR(__xludf.DUMMYFUNCTION("GOOGLETRANSLATE(J108, ""ne"", ""en"")"),"Yogesh Gauchan Thakali")</f>
        <v>Yogesh Gauchan Thakali</v>
      </c>
      <c r="L109" s="1" t="s">
        <v>31</v>
      </c>
      <c r="M109" s="1" t="str">
        <f ca="1">IFERROR(__xludf.DUMMYFUNCTION("GOOGLETRANSLATE(L108, ""ne"", ""en"")"),"Nepali Congress")</f>
        <v>Nepali Congress</v>
      </c>
      <c r="N109" s="1">
        <v>3307</v>
      </c>
      <c r="O109" s="1">
        <v>52.65</v>
      </c>
      <c r="P109" s="1" t="s">
        <v>297</v>
      </c>
      <c r="Q109" s="1" t="str">
        <f ca="1">IFERROR(__xludf.DUMMYFUNCTION("GOOGLETRANSLATE(P108,""ne"", ""en"")"),"Indra Dhara Dadu Bista")</f>
        <v>Indra Dhara Dadu Bista</v>
      </c>
      <c r="R109" s="1" t="s">
        <v>29</v>
      </c>
      <c r="S109" s="1" t="str">
        <f ca="1">IFERROR(__xludf.DUMMYFUNCTION("GOOGLETRANSLATE(R108, ""ne"", ""en"")"),"Communist Party of Nepal (Unified Marxist-Leninist)")</f>
        <v>Communist Party of Nepal (Unified Marxist-Leninist)</v>
      </c>
      <c r="T109" s="1">
        <v>1806</v>
      </c>
      <c r="U109" s="1">
        <v>28.75</v>
      </c>
      <c r="V109" s="1">
        <v>1501</v>
      </c>
      <c r="W109" s="1">
        <v>23.9</v>
      </c>
      <c r="X109" s="1" t="b">
        <v>0</v>
      </c>
      <c r="Y109" s="1">
        <v>1</v>
      </c>
      <c r="Z109" s="1">
        <v>0</v>
      </c>
    </row>
    <row r="110" spans="1:26" x14ac:dyDescent="0.25">
      <c r="A110" s="1">
        <v>4</v>
      </c>
      <c r="B110" s="1" t="s">
        <v>261</v>
      </c>
      <c r="C110" s="1" t="str">
        <f ca="1">IFERROR(__xludf.DUMMYFUNCTION("GOOGLETRANSLATE(B109, ""ne"", ""en"")"),"Gandaki Province")</f>
        <v>Gandaki Province</v>
      </c>
      <c r="D110" s="1">
        <v>49</v>
      </c>
      <c r="E110" s="1" t="s">
        <v>298</v>
      </c>
      <c r="F110" s="1" t="str">
        <f ca="1">IFERROR(__xludf.DUMMYFUNCTION("GOOGLETRANSLATE(E109,""ne"", ""en"")"),"Myagdi")</f>
        <v>Myagdi</v>
      </c>
      <c r="G110" s="1">
        <v>1</v>
      </c>
      <c r="H110" s="1">
        <v>12</v>
      </c>
      <c r="I110" s="1">
        <v>43160</v>
      </c>
      <c r="J110" s="1" t="s">
        <v>299</v>
      </c>
      <c r="K110" s="1" t="str">
        <f ca="1">IFERROR(__xludf.DUMMYFUNCTION("GOOGLETRANSLATE(J109, ""ne"", ""en"")"),"Mahavir Pun")</f>
        <v>Mahavir Pun</v>
      </c>
      <c r="L110" s="1" t="s">
        <v>300</v>
      </c>
      <c r="M110" s="1" t="str">
        <f ca="1">IFERROR(__xludf.DUMMYFUNCTION("GOOGLETRANSLATE(L109, ""ne"", ""en"")"),"Independent")</f>
        <v>Independent</v>
      </c>
      <c r="N110" s="1">
        <v>22850</v>
      </c>
      <c r="O110" s="1">
        <v>52.94</v>
      </c>
      <c r="P110" s="1" t="s">
        <v>301</v>
      </c>
      <c r="Q110" s="1" t="str">
        <f ca="1">IFERROR(__xludf.DUMMYFUNCTION("GOOGLETRANSLATE(P109,""ne"", ""en"")"),"Harikrishna Shrestha")</f>
        <v>Harikrishna Shrestha</v>
      </c>
      <c r="R110" s="1" t="s">
        <v>29</v>
      </c>
      <c r="S110" s="1" t="str">
        <f ca="1">IFERROR(__xludf.DUMMYFUNCTION("GOOGLETRANSLATE(R109, ""ne"", ""en"")"),"Communist Party of Nepal (Unified Marxist-Leninist)")</f>
        <v>Communist Party of Nepal (Unified Marxist-Leninist)</v>
      </c>
      <c r="T110" s="1">
        <v>7919</v>
      </c>
      <c r="U110" s="1">
        <v>18.350000000000001</v>
      </c>
      <c r="V110" s="1">
        <v>14931</v>
      </c>
      <c r="W110" s="1">
        <v>34.590000000000003</v>
      </c>
      <c r="X110" s="1" t="b">
        <v>0</v>
      </c>
      <c r="Y110" s="1">
        <v>0</v>
      </c>
      <c r="Z110" s="1">
        <v>1</v>
      </c>
    </row>
    <row r="111" spans="1:26" x14ac:dyDescent="0.25">
      <c r="A111" s="1">
        <v>4</v>
      </c>
      <c r="B111" s="1" t="s">
        <v>261</v>
      </c>
      <c r="C111" s="1" t="str">
        <f ca="1">IFERROR(__xludf.DUMMYFUNCTION("GOOGLETRANSLATE(B110, ""ne"", ""en"")"),"Gandaki Province")</f>
        <v>Gandaki Province</v>
      </c>
      <c r="D111" s="1">
        <v>50</v>
      </c>
      <c r="E111" s="1" t="s">
        <v>302</v>
      </c>
      <c r="F111" s="1" t="str">
        <f ca="1">IFERROR(__xludf.DUMMYFUNCTION("GOOGLETRANSLATE(E110,""ne"", ""en"")"),"Baglung")</f>
        <v>Baglung</v>
      </c>
      <c r="G111" s="1">
        <v>1</v>
      </c>
      <c r="H111" s="1">
        <v>11</v>
      </c>
      <c r="I111" s="1">
        <v>47061</v>
      </c>
      <c r="J111" s="1" t="s">
        <v>303</v>
      </c>
      <c r="K111" s="1" t="str">
        <f ca="1">IFERROR(__xludf.DUMMYFUNCTION("GOOGLETRANSLATE(J110, ""ne"", ""en"")"),"Sushil Khadka")</f>
        <v>Sushil Khadka</v>
      </c>
      <c r="L111" s="1" t="s">
        <v>43</v>
      </c>
      <c r="M111" s="1" t="str">
        <f ca="1">IFERROR(__xludf.DUMMYFUNCTION("GOOGLETRANSLATE(L110, ""ne"", ""en"")"),"National Independence Party")</f>
        <v>National Independence Party</v>
      </c>
      <c r="N111" s="1">
        <v>20927</v>
      </c>
      <c r="O111" s="1">
        <v>44.47</v>
      </c>
      <c r="P111" s="1" t="s">
        <v>304</v>
      </c>
      <c r="Q111" s="1" t="str">
        <f ca="1">IFERROR(__xludf.DUMMYFUNCTION("GOOGLETRANSLATE(P110,""ne"", ""en"")"),"Bhim Bahadur Shris Rana")</f>
        <v>Bhim Bahadur Shris Rana</v>
      </c>
      <c r="R111" s="1" t="s">
        <v>31</v>
      </c>
      <c r="S111" s="1" t="str">
        <f ca="1">IFERROR(__xludf.DUMMYFUNCTION("GOOGLETRANSLATE(R110, ""ne"", ""en"")"),"Nepali Congress")</f>
        <v>Nepali Congress</v>
      </c>
      <c r="T111" s="1">
        <v>11944</v>
      </c>
      <c r="U111" s="1">
        <v>25.38</v>
      </c>
      <c r="V111" s="1">
        <v>8983</v>
      </c>
      <c r="W111" s="1">
        <v>19.09</v>
      </c>
      <c r="X111" s="1" t="b">
        <v>0</v>
      </c>
      <c r="Y111" s="1">
        <v>1</v>
      </c>
      <c r="Z111" s="1">
        <v>0</v>
      </c>
    </row>
    <row r="112" spans="1:26" x14ac:dyDescent="0.25">
      <c r="A112" s="1">
        <v>4</v>
      </c>
      <c r="B112" s="1" t="s">
        <v>261</v>
      </c>
      <c r="C112" s="1" t="str">
        <f ca="1">IFERROR(__xludf.DUMMYFUNCTION("GOOGLETRANSLATE(B111, ""ne"", ""en"")"),"Gandaki Province")</f>
        <v>Gandaki Province</v>
      </c>
      <c r="D112" s="1">
        <v>50</v>
      </c>
      <c r="E112" s="1" t="s">
        <v>302</v>
      </c>
      <c r="F112" s="1" t="str">
        <f ca="1">IFERROR(__xludf.DUMMYFUNCTION("GOOGLETRANSLATE(E111,""ne"", ""en"")"),"Baglung")</f>
        <v>Baglung</v>
      </c>
      <c r="G112" s="1">
        <v>2</v>
      </c>
      <c r="H112" s="1">
        <v>12</v>
      </c>
      <c r="I112" s="1">
        <v>44626</v>
      </c>
      <c r="J112" s="1" t="s">
        <v>305</v>
      </c>
      <c r="K112" s="1" t="str">
        <f ca="1">IFERROR(__xludf.DUMMYFUNCTION("GOOGLETRANSLATE(J111, ""ne"", ""en"")"),"Som Sharma")</f>
        <v>Som Sharma</v>
      </c>
      <c r="L112" s="1" t="s">
        <v>43</v>
      </c>
      <c r="M112" s="1" t="str">
        <f ca="1">IFERROR(__xludf.DUMMYFUNCTION("GOOGLETRANSLATE(L111, ""ne"", ""en"")"),"National Independence Party")</f>
        <v>National Independence Party</v>
      </c>
      <c r="N112" s="1">
        <v>12647</v>
      </c>
      <c r="O112" s="1">
        <v>28.34</v>
      </c>
      <c r="P112" s="1" t="s">
        <v>306</v>
      </c>
      <c r="Q112" s="1" t="str">
        <f ca="1">IFERROR(__xludf.DUMMYFUNCTION("GOOGLETRANSLATE(P111,""ne"", ""en"")"),"Tech Raj Poudel")</f>
        <v>Tech Raj Poudel</v>
      </c>
      <c r="R112" s="1" t="s">
        <v>31</v>
      </c>
      <c r="S112" s="1" t="str">
        <f ca="1">IFERROR(__xludf.DUMMYFUNCTION("GOOGLETRANSLATE(R111, ""ne"", ""en"")"),"Nepali Congress")</f>
        <v>Nepali Congress</v>
      </c>
      <c r="T112" s="1">
        <v>11868</v>
      </c>
      <c r="U112" s="1">
        <v>26.59</v>
      </c>
      <c r="V112" s="1">
        <v>779</v>
      </c>
      <c r="W112" s="1">
        <v>1.75</v>
      </c>
      <c r="X112" s="1" t="b">
        <v>1</v>
      </c>
      <c r="Y112" s="1">
        <v>1</v>
      </c>
      <c r="Z112" s="1">
        <v>0</v>
      </c>
    </row>
    <row r="113" spans="1:26" x14ac:dyDescent="0.25">
      <c r="A113" s="1">
        <v>4</v>
      </c>
      <c r="B113" s="1" t="s">
        <v>261</v>
      </c>
      <c r="C113" s="1" t="str">
        <f ca="1">IFERROR(__xludf.DUMMYFUNCTION("GOOGLETRANSLATE(B112, ""ne"", ""en"")"),"Gandaki Province")</f>
        <v>Gandaki Province</v>
      </c>
      <c r="D113" s="1">
        <v>51</v>
      </c>
      <c r="E113" s="1" t="s">
        <v>307</v>
      </c>
      <c r="F113" s="1" t="str">
        <f ca="1">IFERROR(__xludf.DUMMYFUNCTION("GOOGLETRANSLATE(E112,""ne"", ""en"")"),"Mountain")</f>
        <v>Mountain</v>
      </c>
      <c r="G113" s="1">
        <v>1</v>
      </c>
      <c r="H113" s="1">
        <v>17</v>
      </c>
      <c r="I113" s="1">
        <v>63203</v>
      </c>
      <c r="J113" s="1" t="s">
        <v>308</v>
      </c>
      <c r="K113" s="1" t="str">
        <f ca="1">IFERROR(__xludf.DUMMYFUNCTION("GOOGLETRANSLATE(J112, ""ne"", ""en"")"),"Sagar Bhusal")</f>
        <v>Sagar Bhusal</v>
      </c>
      <c r="L113" s="1" t="s">
        <v>43</v>
      </c>
      <c r="M113" s="1" t="str">
        <f ca="1">IFERROR(__xludf.DUMMYFUNCTION("GOOGLETRANSLATE(L112, ""ne"", ""en"")"),"National Independence Party")</f>
        <v>National Independence Party</v>
      </c>
      <c r="N113" s="1">
        <v>26561</v>
      </c>
      <c r="O113" s="1">
        <v>42.02</v>
      </c>
      <c r="P113" s="1" t="s">
        <v>309</v>
      </c>
      <c r="Q113" s="1" t="str">
        <f ca="1">IFERROR(__xludf.DUMMYFUNCTION("GOOGLETRANSLATE(P112,""ne"", ""en"")"),"Arjun Prasad Joshi")</f>
        <v>Arjun Prasad Joshi</v>
      </c>
      <c r="R113" s="1" t="s">
        <v>31</v>
      </c>
      <c r="S113" s="1" t="str">
        <f ca="1">IFERROR(__xludf.DUMMYFUNCTION("GOOGLETRANSLATE(R112, ""ne"", ""en"")"),"Nepali Congress")</f>
        <v>Nepali Congress</v>
      </c>
      <c r="T113" s="1">
        <v>15954</v>
      </c>
      <c r="U113" s="1">
        <v>25.24</v>
      </c>
      <c r="V113" s="1">
        <v>10607</v>
      </c>
      <c r="W113" s="1">
        <v>16.78</v>
      </c>
      <c r="X113" s="1" t="b">
        <v>0</v>
      </c>
      <c r="Y113" s="1">
        <v>7</v>
      </c>
      <c r="Z113" s="1">
        <v>4</v>
      </c>
    </row>
    <row r="114" spans="1:26" x14ac:dyDescent="0.25">
      <c r="A114" s="1">
        <v>5</v>
      </c>
      <c r="B114" s="1" t="s">
        <v>310</v>
      </c>
      <c r="C114" s="1" t="str">
        <f ca="1">IFERROR(__xludf.DUMMYFUNCTION("GOOGLETRANSLATE(B113, ""ne"", ""en"")"),"Lumbini Province")</f>
        <v>Lumbini Province</v>
      </c>
      <c r="D114" s="1">
        <v>42</v>
      </c>
      <c r="E114" s="1" t="s">
        <v>311</v>
      </c>
      <c r="F114" s="1" t="str">
        <f ca="1">IFERROR(__xludf.DUMMYFUNCTION("GOOGLETRANSLATE(E113,""ne"", ""en"")"),"Gulmi")</f>
        <v>Gulmi</v>
      </c>
      <c r="G114" s="1">
        <v>1</v>
      </c>
      <c r="H114" s="1">
        <v>21</v>
      </c>
      <c r="I114" s="1">
        <v>62880</v>
      </c>
      <c r="J114" s="1" t="s">
        <v>312</v>
      </c>
      <c r="K114" s="1" t="str">
        <f ca="1">IFERROR(__xludf.DUMMYFUNCTION("GOOGLETRANSLATE(J113, ""ne"", ""en"")"),"Sagar Dhakal")</f>
        <v>Sagar Dhakal</v>
      </c>
      <c r="L114" s="1" t="s">
        <v>43</v>
      </c>
      <c r="M114" s="1" t="str">
        <f ca="1">IFERROR(__xludf.DUMMYFUNCTION("GOOGLETRANSLATE(L113, ""ne"", ""en"")"),"National Independence Party")</f>
        <v>National Independence Party</v>
      </c>
      <c r="N114" s="1">
        <v>29642</v>
      </c>
      <c r="O114" s="1">
        <v>47.14</v>
      </c>
      <c r="P114" s="1" t="s">
        <v>313</v>
      </c>
      <c r="Q114" s="1" t="str">
        <f ca="1">IFERROR(__xludf.DUMMYFUNCTION("GOOGLETRANSLATE(P113,""ne"", ""en"")"),"Pradeep Kumar Gyawali")</f>
        <v>Pradeep Kumar Gyawali</v>
      </c>
      <c r="R114" s="1" t="s">
        <v>29</v>
      </c>
      <c r="S114" s="1" t="str">
        <f ca="1">IFERROR(__xludf.DUMMYFUNCTION("GOOGLETRANSLATE(R113, ""ne"", ""en"")"),"Communist Party of Nepal (Unified Marxist-Leninist)")</f>
        <v>Communist Party of Nepal (Unified Marxist-Leninist)</v>
      </c>
      <c r="T114" s="1">
        <v>15181</v>
      </c>
      <c r="U114" s="1">
        <v>24.14</v>
      </c>
      <c r="V114" s="1">
        <v>14461</v>
      </c>
      <c r="W114" s="1">
        <v>23</v>
      </c>
      <c r="X114" s="1" t="b">
        <v>0</v>
      </c>
      <c r="Y114" s="1">
        <v>2</v>
      </c>
      <c r="Z114" s="1">
        <v>11</v>
      </c>
    </row>
    <row r="115" spans="1:26" x14ac:dyDescent="0.25">
      <c r="A115" s="1">
        <v>5</v>
      </c>
      <c r="B115" s="1" t="s">
        <v>310</v>
      </c>
      <c r="C115" s="1" t="str">
        <f ca="1">IFERROR(__xludf.DUMMYFUNCTION("GOOGLETRANSLATE(B114, ""ne"", ""en"")"),"Lumbini Province")</f>
        <v>Lumbini Province</v>
      </c>
      <c r="D115" s="1">
        <v>42</v>
      </c>
      <c r="E115" s="1" t="s">
        <v>311</v>
      </c>
      <c r="F115" s="1" t="str">
        <f ca="1">IFERROR(__xludf.DUMMYFUNCTION("GOOGLETRANSLATE(E114,""ne"", ""en"")"),"Gulmi")</f>
        <v>Gulmi</v>
      </c>
      <c r="G115" s="1">
        <v>2</v>
      </c>
      <c r="H115" s="1">
        <v>22</v>
      </c>
      <c r="I115" s="1">
        <v>51944</v>
      </c>
      <c r="J115" s="1" t="s">
        <v>314</v>
      </c>
      <c r="K115" s="1" t="str">
        <f ca="1">IFERROR(__xludf.DUMMYFUNCTION("GOOGLETRANSLATE(J114, ""ne"", ""en"")"),"Govinda Panthi")</f>
        <v>Govinda Panthi</v>
      </c>
      <c r="L115" s="1" t="s">
        <v>43</v>
      </c>
      <c r="M115" s="1" t="str">
        <f ca="1">IFERROR(__xludf.DUMMYFUNCTION("GOOGLETRANSLATE(L114, ""ne"", ""en"")"),"National Independence Party")</f>
        <v>National Independence Party</v>
      </c>
      <c r="N115" s="1">
        <v>16967</v>
      </c>
      <c r="O115" s="1">
        <v>32.659999999999997</v>
      </c>
      <c r="P115" s="1" t="s">
        <v>315</v>
      </c>
      <c r="Q115" s="1" t="str">
        <f ca="1">IFERROR(__xludf.DUMMYFUNCTION("GOOGLETRANSLATE(P114,""ne"", ""en"")"),"Gokarna Raj Bisht")</f>
        <v>Gokarna Raj Bisht</v>
      </c>
      <c r="R115" s="1" t="s">
        <v>29</v>
      </c>
      <c r="S115" s="1" t="str">
        <f ca="1">IFERROR(__xludf.DUMMYFUNCTION("GOOGLETRANSLATE(R114, ""ne"", ""en"")"),"Communist Party of Nepal (Unified Marxist-Leninist)")</f>
        <v>Communist Party of Nepal (Unified Marxist-Leninist)</v>
      </c>
      <c r="T115" s="1">
        <v>16406</v>
      </c>
      <c r="U115" s="1">
        <v>31.58</v>
      </c>
      <c r="V115" s="1">
        <v>561</v>
      </c>
      <c r="W115" s="1">
        <v>1.08</v>
      </c>
      <c r="X115" s="1" t="b">
        <v>1</v>
      </c>
      <c r="Y115" s="1">
        <v>3</v>
      </c>
      <c r="Z115" s="1">
        <v>12</v>
      </c>
    </row>
    <row r="116" spans="1:26" x14ac:dyDescent="0.25">
      <c r="A116" s="1">
        <v>5</v>
      </c>
      <c r="B116" s="1" t="s">
        <v>310</v>
      </c>
      <c r="C116" s="1" t="str">
        <f ca="1">IFERROR(__xludf.DUMMYFUNCTION("GOOGLETRANSLATE(B115, ""ne"", ""en"")"),"Lumbini Province")</f>
        <v>Lumbini Province</v>
      </c>
      <c r="D116" s="1">
        <v>43</v>
      </c>
      <c r="E116" s="1" t="s">
        <v>316</v>
      </c>
      <c r="F116" s="1" t="str">
        <f ca="1">IFERROR(__xludf.DUMMYFUNCTION("GOOGLETRANSLATE(E115,""ne"", ""en"")"),"Palpa")</f>
        <v>Palpa</v>
      </c>
      <c r="G116" s="1">
        <v>1</v>
      </c>
      <c r="H116" s="1">
        <v>13</v>
      </c>
      <c r="I116" s="1">
        <v>51824</v>
      </c>
      <c r="J116" s="1" t="s">
        <v>317</v>
      </c>
      <c r="K116" s="1" t="str">
        <f ca="1">IFERROR(__xludf.DUMMYFUNCTION("GOOGLETRANSLATE(J115, ""ne"", ""en"")"),"Sandeep Rana")</f>
        <v>Sandeep Rana</v>
      </c>
      <c r="L116" s="1" t="s">
        <v>31</v>
      </c>
      <c r="M116" s="1" t="str">
        <f ca="1">IFERROR(__xludf.DUMMYFUNCTION("GOOGLETRANSLATE(L115, ""ne"", ""en"")"),"Nepali Congress")</f>
        <v>Nepali Congress</v>
      </c>
      <c r="N116" s="1">
        <v>18336</v>
      </c>
      <c r="O116" s="1">
        <v>35.380000000000003</v>
      </c>
      <c r="P116" s="1" t="s">
        <v>318</v>
      </c>
      <c r="Q116" s="1" t="str">
        <f ca="1">IFERROR(__xludf.DUMMYFUNCTION("GOOGLETRANSLATE(P115,""ne"", ""en"")"),"Narayan Prasad Acharya")</f>
        <v>Narayan Prasad Acharya</v>
      </c>
      <c r="R116" s="1" t="s">
        <v>29</v>
      </c>
      <c r="S116" s="1" t="str">
        <f ca="1">IFERROR(__xludf.DUMMYFUNCTION("GOOGLETRANSLATE(R115, ""ne"", ""en"")"),"Communist Party of Nepal (Unified Marxist-Leninist)")</f>
        <v>Communist Party of Nepal (Unified Marxist-Leninist)</v>
      </c>
      <c r="T116" s="1">
        <v>16819</v>
      </c>
      <c r="U116" s="1">
        <v>32.450000000000003</v>
      </c>
      <c r="V116" s="1">
        <v>1517</v>
      </c>
      <c r="W116" s="1">
        <v>2.93</v>
      </c>
      <c r="X116" s="1" t="b">
        <v>0</v>
      </c>
      <c r="Y116" s="1">
        <v>1</v>
      </c>
      <c r="Z116" s="1">
        <v>4</v>
      </c>
    </row>
    <row r="117" spans="1:26" x14ac:dyDescent="0.25">
      <c r="A117" s="1">
        <v>5</v>
      </c>
      <c r="B117" s="1" t="s">
        <v>310</v>
      </c>
      <c r="C117" s="1" t="str">
        <f ca="1">IFERROR(__xludf.DUMMYFUNCTION("GOOGLETRANSLATE(B116, ""ne"", ""en"")"),"Lumbini Province")</f>
        <v>Lumbini Province</v>
      </c>
      <c r="D117" s="1">
        <v>43</v>
      </c>
      <c r="E117" s="1" t="s">
        <v>316</v>
      </c>
      <c r="F117" s="1" t="str">
        <f ca="1">IFERROR(__xludf.DUMMYFUNCTION("GOOGLETRANSLATE(E116,""ne"", ""en"")"),"Palpa")</f>
        <v>Palpa</v>
      </c>
      <c r="G117" s="1">
        <v>2</v>
      </c>
      <c r="H117" s="1">
        <v>16</v>
      </c>
      <c r="I117" s="1">
        <v>58140</v>
      </c>
      <c r="J117" s="1" t="s">
        <v>319</v>
      </c>
      <c r="K117" s="1" t="str">
        <f ca="1">IFERROR(__xludf.DUMMYFUNCTION("GOOGLETRANSLATE(J116, ""ne"", ""en"")"),"Madhav Bahadur Thapa")</f>
        <v>Madhav Bahadur Thapa</v>
      </c>
      <c r="L117" s="1" t="s">
        <v>43</v>
      </c>
      <c r="M117" s="1" t="str">
        <f ca="1">IFERROR(__xludf.DUMMYFUNCTION("GOOGLETRANSLATE(L116, ""ne"", ""en"")"),"National Independence Party")</f>
        <v>National Independence Party</v>
      </c>
      <c r="N117" s="1">
        <v>26736</v>
      </c>
      <c r="O117" s="1">
        <v>45.99</v>
      </c>
      <c r="P117" s="1" t="s">
        <v>320</v>
      </c>
      <c r="Q117" s="1" t="str">
        <f ca="1">IFERROR(__xludf.DUMMYFUNCTION("GOOGLETRANSLATE(P116,""ne"", ""en"")"),"Himal Dutt Shrestha")</f>
        <v>Himal Dutt Shrestha</v>
      </c>
      <c r="R117" s="1" t="s">
        <v>31</v>
      </c>
      <c r="S117" s="1" t="str">
        <f ca="1">IFERROR(__xludf.DUMMYFUNCTION("GOOGLETRANSLATE(R116, ""ne"", ""en"")"),"Nepali Congress")</f>
        <v>Nepali Congress</v>
      </c>
      <c r="T117" s="1">
        <v>12992</v>
      </c>
      <c r="U117" s="1">
        <v>22.35</v>
      </c>
      <c r="V117" s="1">
        <v>13744</v>
      </c>
      <c r="W117" s="1">
        <v>23.64</v>
      </c>
      <c r="X117" s="1" t="b">
        <v>0</v>
      </c>
      <c r="Y117" s="1">
        <v>1</v>
      </c>
      <c r="Z117" s="1">
        <v>2</v>
      </c>
    </row>
    <row r="118" spans="1:26" x14ac:dyDescent="0.25">
      <c r="A118" s="1">
        <v>5</v>
      </c>
      <c r="B118" s="1" t="s">
        <v>310</v>
      </c>
      <c r="C118" s="1" t="str">
        <f ca="1">IFERROR(__xludf.DUMMYFUNCTION("GOOGLETRANSLATE(B117, ""ne"", ""en"")"),"Lumbini Province")</f>
        <v>Lumbini Province</v>
      </c>
      <c r="D118" s="1">
        <v>44</v>
      </c>
      <c r="E118" s="1" t="s">
        <v>321</v>
      </c>
      <c r="F118" s="1" t="str">
        <f ca="1">IFERROR(__xludf.DUMMYFUNCTION("GOOGLETRANSLATE(E117,""ne"", ""en"")"),"Arghakhanchi")</f>
        <v>Arghakhanchi</v>
      </c>
      <c r="G118" s="1">
        <v>1</v>
      </c>
      <c r="H118" s="1">
        <v>15</v>
      </c>
      <c r="I118" s="1">
        <v>83306</v>
      </c>
      <c r="J118" s="1" t="s">
        <v>322</v>
      </c>
      <c r="K118" s="1" t="str">
        <f ca="1">IFERROR(__xludf.DUMMYFUNCTION("GOOGLETRANSLATE(J117, ""ne"", ""en"")"),"Hari Prasad Bhusal")</f>
        <v>Hari Prasad Bhusal</v>
      </c>
      <c r="L118" s="1" t="s">
        <v>43</v>
      </c>
      <c r="M118" s="1" t="str">
        <f ca="1">IFERROR(__xludf.DUMMYFUNCTION("GOOGLETRANSLATE(L117, ""ne"", ""en"")"),"National Independence Party")</f>
        <v>National Independence Party</v>
      </c>
      <c r="N118" s="1">
        <v>35023</v>
      </c>
      <c r="O118" s="1">
        <v>42.04</v>
      </c>
      <c r="P118" s="1" t="s">
        <v>323</v>
      </c>
      <c r="Q118" s="1" t="str">
        <f ca="1">IFERROR(__xludf.DUMMYFUNCTION("GOOGLETRANSLATE(P117,""ne"", ""en"")"),"Father Bhusal")</f>
        <v>Father Bhusal</v>
      </c>
      <c r="R118" s="1" t="s">
        <v>29</v>
      </c>
      <c r="S118" s="1" t="str">
        <f ca="1">IFERROR(__xludf.DUMMYFUNCTION("GOOGLETRANSLATE(R117, ""ne"", ""en"")"),"Communist Party of Nepal (Unified Marxist-Leninist)")</f>
        <v>Communist Party of Nepal (Unified Marxist-Leninist)</v>
      </c>
      <c r="T118" s="1">
        <v>22649</v>
      </c>
      <c r="U118" s="1">
        <v>27.19</v>
      </c>
      <c r="V118" s="1">
        <v>12374</v>
      </c>
      <c r="W118" s="1">
        <v>14.85</v>
      </c>
      <c r="X118" s="1" t="b">
        <v>0</v>
      </c>
      <c r="Y118" s="1">
        <v>1</v>
      </c>
      <c r="Z118" s="1">
        <v>3</v>
      </c>
    </row>
    <row r="119" spans="1:26" x14ac:dyDescent="0.25">
      <c r="A119" s="1">
        <v>5</v>
      </c>
      <c r="B119" s="1" t="s">
        <v>310</v>
      </c>
      <c r="C119" s="1" t="str">
        <f ca="1">IFERROR(__xludf.DUMMYFUNCTION("GOOGLETRANSLATE(B118, ""ne"", ""en"")"),"Lumbini Province")</f>
        <v>Lumbini Province</v>
      </c>
      <c r="D119" s="1">
        <v>46</v>
      </c>
      <c r="E119" s="1" t="s">
        <v>324</v>
      </c>
      <c r="F119" s="1" t="str">
        <f ca="1">IFERROR(__xludf.DUMMYFUNCTION("GOOGLETRANSLATE(E118,""ne"", ""en"")"),"Rupandehi")</f>
        <v>Rupandehi</v>
      </c>
      <c r="G119" s="1">
        <v>1</v>
      </c>
      <c r="H119" s="1">
        <v>31</v>
      </c>
      <c r="I119" s="1">
        <v>92000</v>
      </c>
      <c r="J119" s="1" t="s">
        <v>325</v>
      </c>
      <c r="K119" s="1" t="str">
        <f ca="1">IFERROR(__xludf.DUMMYFUNCTION("GOOGLETRANSLATE(J118, ""ne"", ""en"")"),"Sunil Lamsal")</f>
        <v>Sunil Lamsal</v>
      </c>
      <c r="L119" s="1" t="s">
        <v>43</v>
      </c>
      <c r="M119" s="1" t="str">
        <f ca="1">IFERROR(__xludf.DUMMYFUNCTION("GOOGLETRANSLATE(L118, ""ne"", ""en"")"),"National Independence Party")</f>
        <v>National Independence Party</v>
      </c>
      <c r="N119" s="1">
        <v>54845</v>
      </c>
      <c r="O119" s="1">
        <v>59.61</v>
      </c>
      <c r="P119" s="1" t="s">
        <v>326</v>
      </c>
      <c r="Q119" s="1" t="str">
        <f ca="1">IFERROR(__xludf.DUMMYFUNCTION("GOOGLETRANSLATE(P118,""ne"", ""en"")"),"Hira Bahadur Khatri")</f>
        <v>Hira Bahadur Khatri</v>
      </c>
      <c r="R119" s="1" t="s">
        <v>31</v>
      </c>
      <c r="S119" s="1" t="str">
        <f ca="1">IFERROR(__xludf.DUMMYFUNCTION("GOOGLETRANSLATE(R118, ""ne"", ""en"")"),"Nepali Congress")</f>
        <v>Nepali Congress</v>
      </c>
      <c r="T119" s="1">
        <v>11982</v>
      </c>
      <c r="U119" s="1">
        <v>13.02</v>
      </c>
      <c r="V119" s="1">
        <v>42863</v>
      </c>
      <c r="W119" s="1">
        <v>46.59</v>
      </c>
      <c r="X119" s="1" t="b">
        <v>0</v>
      </c>
      <c r="Y119" s="1">
        <v>2</v>
      </c>
      <c r="Z119" s="1">
        <v>11</v>
      </c>
    </row>
    <row r="120" spans="1:26" x14ac:dyDescent="0.25">
      <c r="A120" s="1">
        <v>5</v>
      </c>
      <c r="B120" s="1" t="s">
        <v>310</v>
      </c>
      <c r="C120" s="1" t="str">
        <f ca="1">IFERROR(__xludf.DUMMYFUNCTION("GOOGLETRANSLATE(B119, ""ne"", ""en"")"),"Lumbini Province")</f>
        <v>Lumbini Province</v>
      </c>
      <c r="D120" s="1">
        <v>46</v>
      </c>
      <c r="E120" s="1" t="s">
        <v>324</v>
      </c>
      <c r="F120" s="1" t="str">
        <f ca="1">IFERROR(__xludf.DUMMYFUNCTION("GOOGLETRANSLATE(E119,""ne"", ""en"")"),"Rupandehi")</f>
        <v>Rupandehi</v>
      </c>
      <c r="G120" s="1">
        <v>2</v>
      </c>
      <c r="H120" s="1">
        <v>39</v>
      </c>
      <c r="I120" s="1">
        <v>84013</v>
      </c>
      <c r="J120" s="1" t="s">
        <v>327</v>
      </c>
      <c r="K120" s="1" t="str">
        <f ca="1">IFERROR(__xludf.DUMMYFUNCTION("GOOGLETRANSLATE(J119, ""ne"", ""en"")"),"Sulabh Kharel")</f>
        <v>Sulabh Kharel</v>
      </c>
      <c r="L120" s="1" t="s">
        <v>43</v>
      </c>
      <c r="M120" s="1" t="str">
        <f ca="1">IFERROR(__xludf.DUMMYFUNCTION("GOOGLETRANSLATE(L119, ""ne"", ""en"")"),"National Independence Party")</f>
        <v>National Independence Party</v>
      </c>
      <c r="N120" s="1">
        <v>56550</v>
      </c>
      <c r="O120" s="1">
        <v>67.31</v>
      </c>
      <c r="P120" s="1" t="s">
        <v>328</v>
      </c>
      <c r="Q120" s="1" t="str">
        <f ca="1">IFERROR(__xludf.DUMMYFUNCTION("GOOGLETRANSLATE(P119,""ne"", ""en"")"),"Vishnu Prasad Poudel")</f>
        <v>Vishnu Prasad Poudel</v>
      </c>
      <c r="R120" s="1" t="s">
        <v>29</v>
      </c>
      <c r="S120" s="1" t="str">
        <f ca="1">IFERROR(__xludf.DUMMYFUNCTION("GOOGLETRANSLATE(R119, ""ne"", ""en"")"),"Communist Party of Nepal (Unified Marxist-Leninist)")</f>
        <v>Communist Party of Nepal (Unified Marxist-Leninist)</v>
      </c>
      <c r="T120" s="1">
        <v>12861</v>
      </c>
      <c r="U120" s="1">
        <v>15.31</v>
      </c>
      <c r="V120" s="1">
        <v>43689</v>
      </c>
      <c r="W120" s="1">
        <v>52</v>
      </c>
      <c r="X120" s="1" t="b">
        <v>0</v>
      </c>
      <c r="Y120" s="1">
        <v>9</v>
      </c>
      <c r="Z120" s="1">
        <v>20</v>
      </c>
    </row>
    <row r="121" spans="1:26" x14ac:dyDescent="0.25">
      <c r="A121" s="1">
        <v>5</v>
      </c>
      <c r="B121" s="1" t="s">
        <v>310</v>
      </c>
      <c r="C121" s="1" t="str">
        <f ca="1">IFERROR(__xludf.DUMMYFUNCTION("GOOGLETRANSLATE(B120, ""ne"", ""en"")"),"Lumbini Province")</f>
        <v>Lumbini Province</v>
      </c>
      <c r="D121" s="1">
        <v>46</v>
      </c>
      <c r="E121" s="1" t="s">
        <v>324</v>
      </c>
      <c r="F121" s="1" t="str">
        <f ca="1">IFERROR(__xludf.DUMMYFUNCTION("GOOGLETRANSLATE(E120,""ne"", ""en"")"),"Rupandehi")</f>
        <v>Rupandehi</v>
      </c>
      <c r="G121" s="1">
        <v>3</v>
      </c>
      <c r="H121" s="1">
        <v>36</v>
      </c>
      <c r="I121" s="1">
        <v>89414</v>
      </c>
      <c r="J121" s="1" t="s">
        <v>329</v>
      </c>
      <c r="K121" s="1" t="str">
        <f ca="1">IFERROR(__xludf.DUMMYFUNCTION("GOOGLETRANSLATE(J120, ""ne"", ""en"")"),"Dr. Lekhjung Thapa")</f>
        <v>Dr. Lekhjung Thapa</v>
      </c>
      <c r="L121" s="1" t="s">
        <v>43</v>
      </c>
      <c r="M121" s="1" t="str">
        <f ca="1">IFERROR(__xludf.DUMMYFUNCTION("GOOGLETRANSLATE(L120, ""ne"", ""en"")"),"National Independence Party")</f>
        <v>National Independence Party</v>
      </c>
      <c r="N121" s="1">
        <v>58814</v>
      </c>
      <c r="O121" s="1">
        <v>65.78</v>
      </c>
      <c r="P121" s="1" t="s">
        <v>330</v>
      </c>
      <c r="Q121" s="1" t="str">
        <f ca="1">IFERROR(__xludf.DUMMYFUNCTION("GOOGLETRANSLATE(P120,""ne"", ""en"")"),"Sushil Gurung")</f>
        <v>Sushil Gurung</v>
      </c>
      <c r="R121" s="1" t="s">
        <v>31</v>
      </c>
      <c r="S121" s="1" t="str">
        <f ca="1">IFERROR(__xludf.DUMMYFUNCTION("GOOGLETRANSLATE(R120, ""ne"", ""en"")"),"Nepali Congress")</f>
        <v>Nepali Congress</v>
      </c>
      <c r="T121" s="1">
        <v>8435</v>
      </c>
      <c r="U121" s="1">
        <v>9.43</v>
      </c>
      <c r="V121" s="1">
        <v>50379</v>
      </c>
      <c r="W121" s="1">
        <v>56.34</v>
      </c>
      <c r="X121" s="1" t="b">
        <v>0</v>
      </c>
      <c r="Y121" s="1">
        <v>2</v>
      </c>
      <c r="Z121" s="1">
        <v>17</v>
      </c>
    </row>
    <row r="122" spans="1:26" x14ac:dyDescent="0.25">
      <c r="A122" s="1">
        <v>5</v>
      </c>
      <c r="B122" s="1" t="s">
        <v>310</v>
      </c>
      <c r="C122" s="1" t="str">
        <f ca="1">IFERROR(__xludf.DUMMYFUNCTION("GOOGLETRANSLATE(B121, ""ne"", ""en"")"),"Lumbini Province")</f>
        <v>Lumbini Province</v>
      </c>
      <c r="D122" s="1">
        <v>46</v>
      </c>
      <c r="E122" s="1" t="s">
        <v>324</v>
      </c>
      <c r="F122" s="1" t="str">
        <f ca="1">IFERROR(__xludf.DUMMYFUNCTION("GOOGLETRANSLATE(E121,""ne"", ""en"")"),"Rupandehi")</f>
        <v>Rupandehi</v>
      </c>
      <c r="G122" s="1">
        <v>4</v>
      </c>
      <c r="H122" s="1">
        <v>22</v>
      </c>
      <c r="I122" s="1">
        <v>72038</v>
      </c>
      <c r="J122" s="1" t="s">
        <v>331</v>
      </c>
      <c r="K122" s="1" t="str">
        <f ca="1">IFERROR(__xludf.DUMMYFUNCTION("GOOGLETRANSLATE(J121, ""ne"", ""en"")"),"Kanhaiya Baniya")</f>
        <v>Kanhaiya Baniya</v>
      </c>
      <c r="L122" s="1" t="s">
        <v>43</v>
      </c>
      <c r="M122" s="1" t="str">
        <f ca="1">IFERROR(__xludf.DUMMYFUNCTION("GOOGLETRANSLATE(L121, ""ne"", ""en"")"),"National Independence Party")</f>
        <v>National Independence Party</v>
      </c>
      <c r="N122" s="1">
        <v>28066</v>
      </c>
      <c r="O122" s="1">
        <v>38.96</v>
      </c>
      <c r="P122" s="1" t="s">
        <v>332</v>
      </c>
      <c r="Q122" s="1" t="str">
        <f ca="1">IFERROR(__xludf.DUMMYFUNCTION("GOOGLETRANSLATE(P121,""ne"", ""en"")"),"Pramod Kumar Yadav")</f>
        <v>Pramod Kumar Yadav</v>
      </c>
      <c r="R122" s="1" t="s">
        <v>29</v>
      </c>
      <c r="S122" s="1" t="str">
        <f ca="1">IFERROR(__xludf.DUMMYFUNCTION("GOOGLETRANSLATE(R121, ""ne"", ""en"")"),"Communist Party of Nepal (Unified Marxist-Leninist)")</f>
        <v>Communist Party of Nepal (Unified Marxist-Leninist)</v>
      </c>
      <c r="T122" s="1">
        <v>20262</v>
      </c>
      <c r="U122" s="1">
        <v>28.13</v>
      </c>
      <c r="V122" s="1">
        <v>7804</v>
      </c>
      <c r="W122" s="1">
        <v>10.83</v>
      </c>
      <c r="X122" s="1" t="b">
        <v>0</v>
      </c>
      <c r="Y122" s="1">
        <v>3</v>
      </c>
      <c r="Z122" s="1">
        <v>7</v>
      </c>
    </row>
    <row r="123" spans="1:26" x14ac:dyDescent="0.25">
      <c r="A123" s="1">
        <v>5</v>
      </c>
      <c r="B123" s="1" t="s">
        <v>310</v>
      </c>
      <c r="C123" s="1" t="str">
        <f ca="1">IFERROR(__xludf.DUMMYFUNCTION("GOOGLETRANSLATE(B122, ""ne"", ""en"")"),"Lumbini Province")</f>
        <v>Lumbini Province</v>
      </c>
      <c r="D123" s="1">
        <v>46</v>
      </c>
      <c r="E123" s="1" t="s">
        <v>324</v>
      </c>
      <c r="F123" s="1" t="str">
        <f ca="1">IFERROR(__xludf.DUMMYFUNCTION("GOOGLETRANSLATE(E122,""ne"", ""en"")"),"Rupandehi")</f>
        <v>Rupandehi</v>
      </c>
      <c r="G123" s="1">
        <v>5</v>
      </c>
      <c r="H123" s="1">
        <v>27</v>
      </c>
      <c r="I123" s="1">
        <v>78825</v>
      </c>
      <c r="J123" s="1" t="s">
        <v>333</v>
      </c>
      <c r="K123" s="1" t="str">
        <f ca="1">IFERROR(__xludf.DUMMYFUNCTION("GOOGLETRANSLATE(J122, ""ne"", ""en"")"),"Taufiq Ahmad Khan")</f>
        <v>Taufiq Ahmad Khan</v>
      </c>
      <c r="L123" s="1" t="s">
        <v>43</v>
      </c>
      <c r="M123" s="1" t="str">
        <f ca="1">IFERROR(__xludf.DUMMYFUNCTION("GOOGLETRANSLATE(L122, ""ne"", ""en"")"),"National Independence Party")</f>
        <v>National Independence Party</v>
      </c>
      <c r="N123" s="1">
        <v>38806</v>
      </c>
      <c r="O123" s="1">
        <v>49.23</v>
      </c>
      <c r="P123" s="1" t="s">
        <v>334</v>
      </c>
      <c r="Q123" s="1" t="str">
        <f ca="1">IFERROR(__xludf.DUMMYFUNCTION("GOOGLETRANSLATE(P122,""ne"", ""en"")"),"Khim Lal Bhattarai")</f>
        <v>Khim Lal Bhattarai</v>
      </c>
      <c r="R123" s="1" t="s">
        <v>29</v>
      </c>
      <c r="S123" s="1" t="str">
        <f ca="1">IFERROR(__xludf.DUMMYFUNCTION("GOOGLETRANSLATE(R122, ""ne"", ""en"")"),"Communist Party of Nepal (Unified Marxist-Leninist)")</f>
        <v>Communist Party of Nepal (Unified Marxist-Leninist)</v>
      </c>
      <c r="T123" s="1">
        <v>13100</v>
      </c>
      <c r="U123" s="1">
        <v>16.62</v>
      </c>
      <c r="V123" s="1">
        <v>25706</v>
      </c>
      <c r="W123" s="1">
        <v>32.61</v>
      </c>
      <c r="X123" s="1" t="b">
        <v>0</v>
      </c>
      <c r="Y123" s="1">
        <v>3</v>
      </c>
      <c r="Z123" s="1">
        <v>8</v>
      </c>
    </row>
    <row r="124" spans="1:26" x14ac:dyDescent="0.25">
      <c r="A124" s="1">
        <v>5</v>
      </c>
      <c r="B124" s="1" t="s">
        <v>310</v>
      </c>
      <c r="C124" s="1" t="str">
        <f ca="1">IFERROR(__xludf.DUMMYFUNCTION("GOOGLETRANSLATE(B123, ""ne"", ""en"")"),"Lumbini Province")</f>
        <v>Lumbini Province</v>
      </c>
      <c r="D124" s="1">
        <v>47</v>
      </c>
      <c r="E124" s="1" t="s">
        <v>335</v>
      </c>
      <c r="F124" s="1" t="str">
        <f ca="1">IFERROR(__xludf.DUMMYFUNCTION("GOOGLETRANSLATE(E123,""ne"", ""en"")"),"Kapilvastu")</f>
        <v>Kapilvastu</v>
      </c>
      <c r="G124" s="1">
        <v>1</v>
      </c>
      <c r="H124" s="1">
        <v>34</v>
      </c>
      <c r="I124" s="1">
        <v>85161</v>
      </c>
      <c r="J124" s="1" t="s">
        <v>336</v>
      </c>
      <c r="K124" s="1" t="str">
        <f ca="1">IFERROR(__xludf.DUMMYFUNCTION("GOOGLETRANSLATE(J123, ""ne"", ""en"")"),"Mohan Lal Acharya")</f>
        <v>Mohan Lal Acharya</v>
      </c>
      <c r="L124" s="1" t="s">
        <v>43</v>
      </c>
      <c r="M124" s="1" t="str">
        <f ca="1">IFERROR(__xludf.DUMMYFUNCTION("GOOGLETRANSLATE(L123, ""ne"", ""en"")"),"National Independence Party")</f>
        <v>National Independence Party</v>
      </c>
      <c r="N124" s="1">
        <v>34148</v>
      </c>
      <c r="O124" s="1">
        <v>40.1</v>
      </c>
      <c r="P124" s="1" t="s">
        <v>337</v>
      </c>
      <c r="Q124" s="1" t="str">
        <f ca="1">IFERROR(__xludf.DUMMYFUNCTION("GOOGLETRANSLATE(P123,""ne"", ""en"")"),"Ashish Sharma")</f>
        <v>Ashish Sharma</v>
      </c>
      <c r="R124" s="1" t="s">
        <v>300</v>
      </c>
      <c r="S124" s="1" t="str">
        <f ca="1">IFERROR(__xludf.DUMMYFUNCTION("GOOGLETRANSLATE(R123, ""ne"", ""en"")"),"Independent")</f>
        <v>Independent</v>
      </c>
      <c r="T124" s="1">
        <v>15860</v>
      </c>
      <c r="U124" s="1">
        <v>18.62</v>
      </c>
      <c r="V124" s="1">
        <v>18288</v>
      </c>
      <c r="W124" s="1">
        <v>21.47</v>
      </c>
      <c r="X124" s="1" t="b">
        <v>0</v>
      </c>
      <c r="Y124" s="1">
        <v>2</v>
      </c>
      <c r="Z124" s="1">
        <v>15</v>
      </c>
    </row>
    <row r="125" spans="1:26" x14ac:dyDescent="0.25">
      <c r="A125" s="1">
        <v>5</v>
      </c>
      <c r="B125" s="1" t="s">
        <v>310</v>
      </c>
      <c r="C125" s="1" t="str">
        <f ca="1">IFERROR(__xludf.DUMMYFUNCTION("GOOGLETRANSLATE(B124, ""ne"", ""en"")"),"Lumbini Province")</f>
        <v>Lumbini Province</v>
      </c>
      <c r="D125" s="1">
        <v>47</v>
      </c>
      <c r="E125" s="1" t="s">
        <v>335</v>
      </c>
      <c r="F125" s="1" t="str">
        <f ca="1">IFERROR(__xludf.DUMMYFUNCTION("GOOGLETRANSLATE(E124,""ne"", ""en"")"),"Kapilvastu")</f>
        <v>Kapilvastu</v>
      </c>
      <c r="G125" s="1">
        <v>2</v>
      </c>
      <c r="H125" s="1">
        <v>28</v>
      </c>
      <c r="I125" s="1">
        <v>80075</v>
      </c>
      <c r="J125" s="1" t="s">
        <v>338</v>
      </c>
      <c r="K125" s="1" t="str">
        <f ca="1">IFERROR(__xludf.DUMMYFUNCTION("GOOGLETRANSLATE(J124, ""ne"", ""en"")"),"Vikram Thapa")</f>
        <v>Vikram Thapa</v>
      </c>
      <c r="L125" s="1" t="s">
        <v>43</v>
      </c>
      <c r="M125" s="1" t="str">
        <f ca="1">IFERROR(__xludf.DUMMYFUNCTION("GOOGLETRANSLATE(L124, ""ne"", ""en"")"),"National Independence Party")</f>
        <v>National Independence Party</v>
      </c>
      <c r="N125" s="1">
        <v>27635</v>
      </c>
      <c r="O125" s="1">
        <v>34.51</v>
      </c>
      <c r="P125" s="1" t="s">
        <v>339</v>
      </c>
      <c r="Q125" s="1" t="str">
        <f ca="1">IFERROR(__xludf.DUMMYFUNCTION("GOOGLETRANSLATE(P124,""ne"", ""en"")"),"Surendra Raj Acharya")</f>
        <v>Surendra Raj Acharya</v>
      </c>
      <c r="R125" s="1" t="s">
        <v>31</v>
      </c>
      <c r="S125" s="1" t="str">
        <f ca="1">IFERROR(__xludf.DUMMYFUNCTION("GOOGLETRANSLATE(R124, ""ne"", ""en"")"),"Nepali Congress")</f>
        <v>Nepali Congress</v>
      </c>
      <c r="T125" s="1">
        <v>21527</v>
      </c>
      <c r="U125" s="1">
        <v>26.88</v>
      </c>
      <c r="V125" s="1">
        <v>6108</v>
      </c>
      <c r="W125" s="1">
        <v>7.63</v>
      </c>
      <c r="X125" s="1" t="b">
        <v>0</v>
      </c>
      <c r="Y125" s="1">
        <v>2</v>
      </c>
      <c r="Z125" s="1">
        <v>11</v>
      </c>
    </row>
    <row r="126" spans="1:26" x14ac:dyDescent="0.25">
      <c r="A126" s="1">
        <v>5</v>
      </c>
      <c r="B126" s="1" t="s">
        <v>310</v>
      </c>
      <c r="C126" s="1" t="str">
        <f ca="1">IFERROR(__xludf.DUMMYFUNCTION("GOOGLETRANSLATE(B125, ""ne"", ""en"")"),"Lumbini Province")</f>
        <v>Lumbini Province</v>
      </c>
      <c r="D126" s="1">
        <v>47</v>
      </c>
      <c r="E126" s="1" t="s">
        <v>335</v>
      </c>
      <c r="F126" s="1" t="str">
        <f ca="1">IFERROR(__xludf.DUMMYFUNCTION("GOOGLETRANSLATE(E125,""ne"", ""en"")"),"Kapilvastu")</f>
        <v>Kapilvastu</v>
      </c>
      <c r="G126" s="1">
        <v>3</v>
      </c>
      <c r="H126" s="1">
        <v>36</v>
      </c>
      <c r="I126" s="1">
        <v>69184</v>
      </c>
      <c r="J126" s="1" t="s">
        <v>340</v>
      </c>
      <c r="K126" s="1" t="str">
        <f ca="1">IFERROR(__xludf.DUMMYFUNCTION("GOOGLETRANSLATE(J125, ""ne"", ""en"")"),"Abhishek Pratap Shah")</f>
        <v>Abhishek Pratap Shah</v>
      </c>
      <c r="L126" s="1" t="s">
        <v>31</v>
      </c>
      <c r="M126" s="1" t="str">
        <f ca="1">IFERROR(__xludf.DUMMYFUNCTION("GOOGLETRANSLATE(L125, ""ne"", ""en"")"),"Nepali Congress")</f>
        <v>Nepali Congress</v>
      </c>
      <c r="N126" s="1">
        <v>23535</v>
      </c>
      <c r="O126" s="1">
        <v>34.020000000000003</v>
      </c>
      <c r="P126" s="1" t="s">
        <v>341</v>
      </c>
      <c r="Q126" s="1" t="str">
        <f ca="1">IFERROR(__xludf.DUMMYFUNCTION("GOOGLETRANSLATE(P125,""ne"", ""en"")"),"Prakash Rajouria")</f>
        <v>Prakash Rajouria</v>
      </c>
      <c r="R126" s="1" t="s">
        <v>43</v>
      </c>
      <c r="S126" s="1" t="str">
        <f ca="1">IFERROR(__xludf.DUMMYFUNCTION("GOOGLETRANSLATE(R125, ""ne"", ""en"")"),"National Independence Party")</f>
        <v>National Independence Party</v>
      </c>
      <c r="T126" s="1">
        <v>18890</v>
      </c>
      <c r="U126" s="1">
        <v>27.3</v>
      </c>
      <c r="V126" s="1">
        <v>4645</v>
      </c>
      <c r="W126" s="1">
        <v>6.71</v>
      </c>
      <c r="X126" s="1" t="b">
        <v>0</v>
      </c>
      <c r="Y126" s="1">
        <v>0</v>
      </c>
      <c r="Z126" s="1">
        <v>23</v>
      </c>
    </row>
    <row r="127" spans="1:26" x14ac:dyDescent="0.25">
      <c r="A127" s="1">
        <v>5</v>
      </c>
      <c r="B127" s="1" t="s">
        <v>310</v>
      </c>
      <c r="C127" s="1" t="str">
        <f ca="1">IFERROR(__xludf.DUMMYFUNCTION("GOOGLETRANSLATE(B126, ""ne"", ""en"")"),"Lumbini Province")</f>
        <v>Lumbini Province</v>
      </c>
      <c r="D127" s="1">
        <v>52</v>
      </c>
      <c r="E127" s="1" t="s">
        <v>342</v>
      </c>
      <c r="F127" s="1" t="str">
        <f ca="1">IFERROR(__xludf.DUMMYFUNCTION("GOOGLETRANSLATE(E126,""ne"", ""en"")"),"Rukum (Eastern part)")</f>
        <v>Rukum (Eastern part)</v>
      </c>
      <c r="G127" s="1">
        <v>1</v>
      </c>
      <c r="H127" s="1">
        <v>11</v>
      </c>
      <c r="I127" s="1">
        <v>18246</v>
      </c>
      <c r="J127" s="1" t="s">
        <v>343</v>
      </c>
      <c r="K127" s="1" t="str">
        <f ca="1">IFERROR(__xludf.DUMMYFUNCTION("GOOGLETRANSLATE(J126, ""ne"", ""en"")"),"Pushpa Kamal Dahal Prachanda")</f>
        <v>Pushpa Kamal Dahal Prachanda</v>
      </c>
      <c r="L127" s="1" t="s">
        <v>91</v>
      </c>
      <c r="M127" s="1" t="str">
        <f ca="1">IFERROR(__xludf.DUMMYFUNCTION("GOOGLETRANSLATE(L126, ""ne"", ""en"")"),"Nepali Communist Party")</f>
        <v>Nepali Communist Party</v>
      </c>
      <c r="N127" s="1">
        <v>10240</v>
      </c>
      <c r="O127" s="1">
        <v>56.12</v>
      </c>
      <c r="P127" s="1" t="s">
        <v>344</v>
      </c>
      <c r="Q127" s="1" t="str">
        <f ca="1">IFERROR(__xludf.DUMMYFUNCTION("GOOGLETRANSLATE(P126,""ne"", ""en"")"),"Auctioneer Gautam")</f>
        <v>Auctioneer Gautam</v>
      </c>
      <c r="R127" s="1" t="s">
        <v>29</v>
      </c>
      <c r="S127" s="1" t="str">
        <f ca="1">IFERROR(__xludf.DUMMYFUNCTION("GOOGLETRANSLATE(R126, ""ne"", ""en"")"),"Communist Party of Nepal (Unified Marxist-Leninist)")</f>
        <v>Communist Party of Nepal (Unified Marxist-Leninist)</v>
      </c>
      <c r="T127" s="1">
        <v>3462</v>
      </c>
      <c r="U127" s="1">
        <v>18.97</v>
      </c>
      <c r="V127" s="1">
        <v>6778</v>
      </c>
      <c r="W127" s="1">
        <v>37.15</v>
      </c>
      <c r="X127" s="1" t="b">
        <v>0</v>
      </c>
      <c r="Y127" s="1">
        <v>2</v>
      </c>
      <c r="Z127" s="1">
        <v>0</v>
      </c>
    </row>
    <row r="128" spans="1:26" x14ac:dyDescent="0.25">
      <c r="A128" s="1">
        <v>5</v>
      </c>
      <c r="B128" s="1" t="s">
        <v>310</v>
      </c>
      <c r="C128" s="1" t="str">
        <f ca="1">IFERROR(__xludf.DUMMYFUNCTION("GOOGLETRANSLATE(B127, ""ne"", ""en"")"),"Lumbini Province")</f>
        <v>Lumbini Province</v>
      </c>
      <c r="D128" s="1">
        <v>53</v>
      </c>
      <c r="E128" s="1" t="s">
        <v>345</v>
      </c>
      <c r="F128" s="1" t="str">
        <f ca="1">IFERROR(__xludf.DUMMYFUNCTION("GOOGLETRANSLATE(E127,""ne"", ""en"")"),"Rolpa")</f>
        <v>Rolpa</v>
      </c>
      <c r="G128" s="1">
        <v>1</v>
      </c>
      <c r="H128" s="1">
        <v>10</v>
      </c>
      <c r="I128" s="1">
        <v>65632</v>
      </c>
      <c r="J128" s="1" t="s">
        <v>346</v>
      </c>
      <c r="K128" s="1" t="str">
        <f ca="1">IFERROR(__xludf.DUMMYFUNCTION("GOOGLETRANSLATE(J127, ""ne"", ""en"")"),"Barshaman Pun")</f>
        <v>Barshaman Pun</v>
      </c>
      <c r="L128" s="1" t="s">
        <v>91</v>
      </c>
      <c r="M128" s="1" t="str">
        <f ca="1">IFERROR(__xludf.DUMMYFUNCTION("GOOGLETRANSLATE(L127, ""ne"", ""en"")"),"Nepali Communist Party")</f>
        <v>Nepali Communist Party</v>
      </c>
      <c r="N128" s="1">
        <v>27460</v>
      </c>
      <c r="O128" s="1">
        <v>41.84</v>
      </c>
      <c r="P128" s="1" t="s">
        <v>347</v>
      </c>
      <c r="Q128" s="1" t="str">
        <f ca="1">IFERROR(__xludf.DUMMYFUNCTION("GOOGLETRANSLATE(P127,""ne"", ""en"")"),"Sudan Kumar Wali")</f>
        <v>Sudan Kumar Wali</v>
      </c>
      <c r="R128" s="1" t="s">
        <v>31</v>
      </c>
      <c r="S128" s="1" t="str">
        <f ca="1">IFERROR(__xludf.DUMMYFUNCTION("GOOGLETRANSLATE(R127, ""ne"", ""en"")"),"Nepali Congress")</f>
        <v>Nepali Congress</v>
      </c>
      <c r="T128" s="1">
        <v>12008</v>
      </c>
      <c r="U128" s="1">
        <v>18.3</v>
      </c>
      <c r="V128" s="1">
        <v>15452</v>
      </c>
      <c r="W128" s="1">
        <v>23.54</v>
      </c>
      <c r="X128" s="1" t="b">
        <v>0</v>
      </c>
      <c r="Y128" s="1">
        <v>0</v>
      </c>
      <c r="Z128" s="1">
        <v>0</v>
      </c>
    </row>
    <row r="129" spans="1:26" x14ac:dyDescent="0.25">
      <c r="A129" s="1">
        <v>5</v>
      </c>
      <c r="B129" s="1" t="s">
        <v>310</v>
      </c>
      <c r="C129" s="1" t="str">
        <f ca="1">IFERROR(__xludf.DUMMYFUNCTION("GOOGLETRANSLATE(B128, ""ne"", ""en"")"),"Lumbini Province")</f>
        <v>Lumbini Province</v>
      </c>
      <c r="D129" s="1">
        <v>54</v>
      </c>
      <c r="E129" s="1" t="s">
        <v>348</v>
      </c>
      <c r="F129" s="1" t="str">
        <f ca="1">IFERROR(__xludf.DUMMYFUNCTION("GOOGLETRANSLATE(E128,""ne"", ""en"")"),"Pyuthan")</f>
        <v>Pyuthan</v>
      </c>
      <c r="G129" s="1">
        <v>1</v>
      </c>
      <c r="H129" s="1">
        <v>14</v>
      </c>
      <c r="I129" s="1">
        <v>81146</v>
      </c>
      <c r="J129" s="1" t="s">
        <v>349</v>
      </c>
      <c r="K129" s="1" t="str">
        <f ca="1">IFERROR(__xludf.DUMMYFUNCTION("GOOGLETRANSLATE(J128, ""ne"", ""en"")"),"Sushant Vedic")</f>
        <v>Sushant Vedic</v>
      </c>
      <c r="L129" s="1" t="s">
        <v>43</v>
      </c>
      <c r="M129" s="1" t="str">
        <f ca="1">IFERROR(__xludf.DUMMYFUNCTION("GOOGLETRANSLATE(L128, ""ne"", ""en"")"),"National Independence Party")</f>
        <v>National Independence Party</v>
      </c>
      <c r="N129" s="1">
        <v>27469</v>
      </c>
      <c r="O129" s="1">
        <v>33.85</v>
      </c>
      <c r="P129" s="1" t="s">
        <v>350</v>
      </c>
      <c r="Q129" s="1" t="str">
        <f ca="1">IFERROR(__xludf.DUMMYFUNCTION("GOOGLETRANSLATE(P128,""ne"", ""en"")"),"Dr. Govinda Raj Pokharel")</f>
        <v>Dr. Govinda Raj Pokharel</v>
      </c>
      <c r="R129" s="1" t="s">
        <v>31</v>
      </c>
      <c r="S129" s="1" t="str">
        <f ca="1">IFERROR(__xludf.DUMMYFUNCTION("GOOGLETRANSLATE(R128, ""ne"", ""en"")"),"Nepali Congress")</f>
        <v>Nepali Congress</v>
      </c>
      <c r="T129" s="1">
        <v>18338</v>
      </c>
      <c r="U129" s="1">
        <v>22.6</v>
      </c>
      <c r="V129" s="1">
        <v>9131</v>
      </c>
      <c r="W129" s="1">
        <v>11.25</v>
      </c>
      <c r="X129" s="1" t="b">
        <v>0</v>
      </c>
      <c r="Y129" s="1">
        <v>1</v>
      </c>
      <c r="Z129" s="1">
        <v>0</v>
      </c>
    </row>
    <row r="130" spans="1:26" x14ac:dyDescent="0.25">
      <c r="A130" s="1">
        <v>5</v>
      </c>
      <c r="B130" s="1" t="s">
        <v>310</v>
      </c>
      <c r="C130" s="1" t="str">
        <f ca="1">IFERROR(__xludf.DUMMYFUNCTION("GOOGLETRANSLATE(B129, ""ne"", ""en"")"),"Lumbini Province")</f>
        <v>Lumbini Province</v>
      </c>
      <c r="D130" s="1">
        <v>56</v>
      </c>
      <c r="E130" s="1" t="s">
        <v>351</v>
      </c>
      <c r="F130" s="1" t="str">
        <f ca="1">IFERROR(__xludf.DUMMYFUNCTION("GOOGLETRANSLATE(E129,""ne"", ""en"")"),"Dang")</f>
        <v>Dang</v>
      </c>
      <c r="G130" s="1">
        <v>1</v>
      </c>
      <c r="H130" s="1">
        <v>14</v>
      </c>
      <c r="I130" s="1">
        <v>76389</v>
      </c>
      <c r="J130" s="1" t="s">
        <v>352</v>
      </c>
      <c r="K130" s="1" t="str">
        <f ca="1">IFERROR(__xludf.DUMMYFUNCTION("GOOGLETRANSLATE(J129, ""ne"", ""en"")"),"Devraj Pathak")</f>
        <v>Devraj Pathak</v>
      </c>
      <c r="L130" s="1" t="s">
        <v>43</v>
      </c>
      <c r="M130" s="1" t="str">
        <f ca="1">IFERROR(__xludf.DUMMYFUNCTION("GOOGLETRANSLATE(L129, ""ne"", ""en"")"),"National Independence Party")</f>
        <v>National Independence Party</v>
      </c>
      <c r="N130" s="1">
        <v>42602</v>
      </c>
      <c r="O130" s="1">
        <v>55.77</v>
      </c>
      <c r="P130" s="1" t="s">
        <v>353</v>
      </c>
      <c r="Q130" s="1" t="str">
        <f ca="1">IFERROR(__xludf.DUMMYFUNCTION("GOOGLETRANSLATE(P129,""ne"", ""en"")"),"Yogendra Chaudhary")</f>
        <v>Yogendra Chaudhary</v>
      </c>
      <c r="R130" s="1" t="s">
        <v>31</v>
      </c>
      <c r="S130" s="1" t="str">
        <f ca="1">IFERROR(__xludf.DUMMYFUNCTION("GOOGLETRANSLATE(R129, ""ne"", ""en"")"),"Nepali Congress")</f>
        <v>Nepali Congress</v>
      </c>
      <c r="T130" s="1">
        <v>15280</v>
      </c>
      <c r="U130" s="1">
        <v>20</v>
      </c>
      <c r="V130" s="1">
        <v>27322</v>
      </c>
      <c r="W130" s="1">
        <v>35.770000000000003</v>
      </c>
      <c r="X130" s="1" t="b">
        <v>0</v>
      </c>
      <c r="Y130" s="1">
        <v>0</v>
      </c>
      <c r="Z130" s="1">
        <v>2</v>
      </c>
    </row>
    <row r="131" spans="1:26" x14ac:dyDescent="0.25">
      <c r="A131" s="1">
        <v>5</v>
      </c>
      <c r="B131" s="1" t="s">
        <v>310</v>
      </c>
      <c r="C131" s="1" t="str">
        <f ca="1">IFERROR(__xludf.DUMMYFUNCTION("GOOGLETRANSLATE(B130, ""ne"", ""en"")"),"Lumbini Province")</f>
        <v>Lumbini Province</v>
      </c>
      <c r="D131" s="1">
        <v>56</v>
      </c>
      <c r="E131" s="1" t="s">
        <v>351</v>
      </c>
      <c r="F131" s="1" t="str">
        <f ca="1">IFERROR(__xludf.DUMMYFUNCTION("GOOGLETRANSLATE(E130,""ne"", ""en"")"),"Dang")</f>
        <v>Dang</v>
      </c>
      <c r="G131" s="1">
        <v>2</v>
      </c>
      <c r="H131" s="1">
        <v>23</v>
      </c>
      <c r="I131" s="1">
        <v>79440</v>
      </c>
      <c r="J131" s="1" t="s">
        <v>354</v>
      </c>
      <c r="K131" s="1" t="str">
        <f ca="1">IFERROR(__xludf.DUMMYFUNCTION("GOOGLETRANSLATE(J130, ""ne"", ""en"")"),"Vipin Kumar Acharya")</f>
        <v>Vipin Kumar Acharya</v>
      </c>
      <c r="L131" s="1" t="s">
        <v>43</v>
      </c>
      <c r="M131" s="1" t="str">
        <f ca="1">IFERROR(__xludf.DUMMYFUNCTION("GOOGLETRANSLATE(L130, ""ne"", ""en"")"),"National Independence Party")</f>
        <v>National Independence Party</v>
      </c>
      <c r="N131" s="1">
        <v>43559</v>
      </c>
      <c r="O131" s="1">
        <v>54.83</v>
      </c>
      <c r="P131" s="1" t="s">
        <v>355</v>
      </c>
      <c r="Q131" s="1" t="str">
        <f ca="1">IFERROR(__xludf.DUMMYFUNCTION("GOOGLETRANSLATE(P130,""ne"", ""en"")"),"Shankar Pokhrel")</f>
        <v>Shankar Pokhrel</v>
      </c>
      <c r="R131" s="1" t="s">
        <v>29</v>
      </c>
      <c r="S131" s="1" t="str">
        <f ca="1">IFERROR(__xludf.DUMMYFUNCTION("GOOGLETRANSLATE(R130, ""ne"", ""en"")"),"Communist Party of Nepal (Unified Marxist-Leninist)")</f>
        <v>Communist Party of Nepal (Unified Marxist-Leninist)</v>
      </c>
      <c r="T131" s="1">
        <v>15287</v>
      </c>
      <c r="U131" s="1">
        <v>19.239999999999998</v>
      </c>
      <c r="V131" s="1">
        <v>28272</v>
      </c>
      <c r="W131" s="1">
        <v>35.590000000000003</v>
      </c>
      <c r="X131" s="1" t="b">
        <v>0</v>
      </c>
      <c r="Y131" s="1">
        <v>2</v>
      </c>
      <c r="Z131" s="1">
        <v>8</v>
      </c>
    </row>
    <row r="132" spans="1:26" x14ac:dyDescent="0.25">
      <c r="A132" s="1">
        <v>5</v>
      </c>
      <c r="B132" s="1" t="s">
        <v>310</v>
      </c>
      <c r="C132" s="1" t="str">
        <f ca="1">IFERROR(__xludf.DUMMYFUNCTION("GOOGLETRANSLATE(B131, ""ne"", ""en"")"),"Lumbini Province")</f>
        <v>Lumbini Province</v>
      </c>
      <c r="D132" s="1">
        <v>56</v>
      </c>
      <c r="E132" s="1" t="s">
        <v>351</v>
      </c>
      <c r="F132" s="1" t="str">
        <f ca="1">IFERROR(__xludf.DUMMYFUNCTION("GOOGLETRANSLATE(E131,""ne"", ""en"")"),"Dang")</f>
        <v>Dang</v>
      </c>
      <c r="G132" s="1">
        <v>3</v>
      </c>
      <c r="H132" s="1">
        <v>23</v>
      </c>
      <c r="I132" s="1">
        <v>84841</v>
      </c>
      <c r="J132" s="1" t="s">
        <v>356</v>
      </c>
      <c r="K132" s="1" t="str">
        <f ca="1">IFERROR(__xludf.DUMMYFUNCTION("GOOGLETRANSLATE(J131, ""ne"", ""en"")"),"Kamal Subedi")</f>
        <v>Kamal Subedi</v>
      </c>
      <c r="L132" s="1" t="s">
        <v>43</v>
      </c>
      <c r="M132" s="1" t="str">
        <f ca="1">IFERROR(__xludf.DUMMYFUNCTION("GOOGLETRANSLATE(L131, ""ne"", ""en"")"),"National Independence Party")</f>
        <v>National Independence Party</v>
      </c>
      <c r="N132" s="1">
        <v>44248</v>
      </c>
      <c r="O132" s="1">
        <v>52.15</v>
      </c>
      <c r="P132" s="1" t="s">
        <v>357</v>
      </c>
      <c r="Q132" s="1" t="str">
        <f ca="1">IFERROR(__xludf.DUMMYFUNCTION("GOOGLETRANSLATE(P131,""ne"", ""en"")"),"Deepak Giri")</f>
        <v>Deepak Giri</v>
      </c>
      <c r="R132" s="1" t="s">
        <v>31</v>
      </c>
      <c r="S132" s="1" t="str">
        <f ca="1">IFERROR(__xludf.DUMMYFUNCTION("GOOGLETRANSLATE(R131, ""ne"", ""en"")"),"Nepali Congress")</f>
        <v>Nepali Congress</v>
      </c>
      <c r="T132" s="1">
        <v>16453</v>
      </c>
      <c r="U132" s="1">
        <v>19.39</v>
      </c>
      <c r="V132" s="1">
        <v>27795</v>
      </c>
      <c r="W132" s="1">
        <v>32.76</v>
      </c>
      <c r="X132" s="1" t="b">
        <v>0</v>
      </c>
      <c r="Y132" s="1">
        <v>3</v>
      </c>
      <c r="Z132" s="1">
        <v>8</v>
      </c>
    </row>
    <row r="133" spans="1:26" x14ac:dyDescent="0.25">
      <c r="A133" s="1">
        <v>5</v>
      </c>
      <c r="B133" s="1" t="s">
        <v>310</v>
      </c>
      <c r="C133" s="1" t="str">
        <f ca="1">IFERROR(__xludf.DUMMYFUNCTION("GOOGLETRANSLATE(B132, ""ne"", ""en"")"),"Lumbini Province")</f>
        <v>Lumbini Province</v>
      </c>
      <c r="D133" s="1">
        <v>65</v>
      </c>
      <c r="E133" s="1" t="s">
        <v>358</v>
      </c>
      <c r="F133" s="1" t="str">
        <f ca="1">IFERROR(__xludf.DUMMYFUNCTION("GOOGLETRANSLATE(E132,""ne"", ""en"")"),"Banke")</f>
        <v>Banke</v>
      </c>
      <c r="G133" s="1">
        <v>1</v>
      </c>
      <c r="H133" s="1">
        <v>14</v>
      </c>
      <c r="I133" s="1">
        <v>70907</v>
      </c>
      <c r="J133" s="1" t="s">
        <v>359</v>
      </c>
      <c r="K133" s="1" t="str">
        <f ca="1">IFERROR(__xludf.DUMMYFUNCTION("GOOGLETRANSLATE(J132, ""ne"", ""en"")"),"Suresh Kumar Chaudhary")</f>
        <v>Suresh Kumar Chaudhary</v>
      </c>
      <c r="L133" s="1" t="s">
        <v>43</v>
      </c>
      <c r="M133" s="1" t="str">
        <f ca="1">IFERROR(__xludf.DUMMYFUNCTION("GOOGLETRANSLATE(L132, ""ne"", ""en"")"),"National Independence Party")</f>
        <v>National Independence Party</v>
      </c>
      <c r="N133" s="1">
        <v>32792</v>
      </c>
      <c r="O133" s="1">
        <v>46.25</v>
      </c>
      <c r="P133" s="1" t="s">
        <v>360</v>
      </c>
      <c r="Q133" s="1" t="str">
        <f ca="1">IFERROR(__xludf.DUMMYFUNCTION("GOOGLETRANSLATE(P132,""ne"", ""en"")"),"Narayan Prasad Gaudel")</f>
        <v>Narayan Prasad Gaudel</v>
      </c>
      <c r="R133" s="1" t="s">
        <v>31</v>
      </c>
      <c r="S133" s="1" t="str">
        <f ca="1">IFERROR(__xludf.DUMMYFUNCTION("GOOGLETRANSLATE(R132, ""ne"", ""en"")"),"Nepali Congress")</f>
        <v>Nepali Congress</v>
      </c>
      <c r="T133" s="1">
        <v>15301</v>
      </c>
      <c r="U133" s="1">
        <v>21.58</v>
      </c>
      <c r="V133" s="1">
        <v>17491</v>
      </c>
      <c r="W133" s="1">
        <v>24.67</v>
      </c>
      <c r="X133" s="1" t="b">
        <v>0</v>
      </c>
      <c r="Y133" s="1">
        <v>2</v>
      </c>
      <c r="Z133" s="1">
        <v>1</v>
      </c>
    </row>
    <row r="134" spans="1:26" x14ac:dyDescent="0.25">
      <c r="A134" s="1">
        <v>5</v>
      </c>
      <c r="B134" s="1" t="s">
        <v>310</v>
      </c>
      <c r="C134" s="1" t="str">
        <f ca="1">IFERROR(__xludf.DUMMYFUNCTION("GOOGLETRANSLATE(B133, ""ne"", ""en"")"),"Lumbini Province")</f>
        <v>Lumbini Province</v>
      </c>
      <c r="D134" s="1">
        <v>65</v>
      </c>
      <c r="E134" s="1" t="s">
        <v>358</v>
      </c>
      <c r="F134" s="1" t="str">
        <f ca="1">IFERROR(__xludf.DUMMYFUNCTION("GOOGLETRANSLATE(E133,""ne"", ""en"")"),"Banke")</f>
        <v>Banke</v>
      </c>
      <c r="G134" s="1">
        <v>2</v>
      </c>
      <c r="H134" s="1">
        <v>20</v>
      </c>
      <c r="I134" s="1">
        <v>66701</v>
      </c>
      <c r="J134" s="1" t="s">
        <v>361</v>
      </c>
      <c r="K134" s="1" t="str">
        <f ca="1">IFERROR(__xludf.DUMMYFUNCTION("GOOGLETRANSLATE(J133, ""ne"", ""en"")"),"Mohammad Ishtiaq Rai")</f>
        <v>Mohammad Ishtiaq Rai</v>
      </c>
      <c r="L134" s="1" t="s">
        <v>29</v>
      </c>
      <c r="M134" s="1" t="str">
        <f ca="1">IFERROR(__xludf.DUMMYFUNCTION("GOOGLETRANSLATE(L133, ""ne"", ""en"")"),"Communist Party of Nepal (Unified Marxist-Leninist)")</f>
        <v>Communist Party of Nepal (Unified Marxist-Leninist)</v>
      </c>
      <c r="N134" s="1">
        <v>24628</v>
      </c>
      <c r="O134" s="1">
        <v>36.92</v>
      </c>
      <c r="P134" s="1" t="s">
        <v>362</v>
      </c>
      <c r="Q134" s="1" t="str">
        <f ca="1">IFERROR(__xludf.DUMMYFUNCTION("GOOGLETRANSLATE(P133,""ne"", ""en"")"),"Vivek Kumar Shrestha")</f>
        <v>Vivek Kumar Shrestha</v>
      </c>
      <c r="R134" s="1" t="s">
        <v>43</v>
      </c>
      <c r="S134" s="1" t="str">
        <f ca="1">IFERROR(__xludf.DUMMYFUNCTION("GOOGLETRANSLATE(R133, ""ne"", ""en"")"),"National Independence Party")</f>
        <v>National Independence Party</v>
      </c>
      <c r="T134" s="1">
        <v>18682</v>
      </c>
      <c r="U134" s="1">
        <v>28.01</v>
      </c>
      <c r="V134" s="1">
        <v>5946</v>
      </c>
      <c r="W134" s="1">
        <v>8.91</v>
      </c>
      <c r="X134" s="1" t="b">
        <v>0</v>
      </c>
      <c r="Y134" s="1">
        <v>0</v>
      </c>
      <c r="Z134" s="1">
        <v>3</v>
      </c>
    </row>
    <row r="135" spans="1:26" x14ac:dyDescent="0.25">
      <c r="A135" s="1">
        <v>5</v>
      </c>
      <c r="B135" s="1" t="s">
        <v>310</v>
      </c>
      <c r="C135" s="1" t="str">
        <f ca="1">IFERROR(__xludf.DUMMYFUNCTION("GOOGLETRANSLATE(B134, ""ne"", ""en"")"),"Lumbini Province")</f>
        <v>Lumbini Province</v>
      </c>
      <c r="D135" s="1">
        <v>65</v>
      </c>
      <c r="E135" s="1" t="s">
        <v>358</v>
      </c>
      <c r="F135" s="1" t="str">
        <f ca="1">IFERROR(__xludf.DUMMYFUNCTION("GOOGLETRANSLATE(E134,""ne"", ""en"")"),"Banke")</f>
        <v>Banke</v>
      </c>
      <c r="G135" s="1">
        <v>3</v>
      </c>
      <c r="H135" s="1">
        <v>22</v>
      </c>
      <c r="I135" s="1">
        <v>70259</v>
      </c>
      <c r="J135" s="1" t="s">
        <v>363</v>
      </c>
      <c r="K135" s="1" t="str">
        <f ca="1">IFERROR(__xludf.DUMMYFUNCTION("GOOGLETRANSLATE(J134, ""ne"", ""en"")"),"Khagendra Goldsmith")</f>
        <v>Khagendra Goldsmith</v>
      </c>
      <c r="L135" s="1" t="s">
        <v>43</v>
      </c>
      <c r="M135" s="1" t="str">
        <f ca="1">IFERROR(__xludf.DUMMYFUNCTION("GOOGLETRANSLATE(L134, ""ne"", ""en"")"),"National Independence Party")</f>
        <v>National Independence Party</v>
      </c>
      <c r="N135" s="1">
        <v>29551</v>
      </c>
      <c r="O135" s="1">
        <v>42.06</v>
      </c>
      <c r="P135" s="1" t="s">
        <v>364</v>
      </c>
      <c r="Q135" s="1" t="str">
        <f ca="1">IFERROR(__xludf.DUMMYFUNCTION("GOOGLETRANSLATE(P134,""ne"", ""en"")"),"Suman Malla")</f>
        <v>Suman Malla</v>
      </c>
      <c r="R135" s="1" t="s">
        <v>29</v>
      </c>
      <c r="S135" s="1" t="str">
        <f ca="1">IFERROR(__xludf.DUMMYFUNCTION("GOOGLETRANSLATE(R134, ""ne"", ""en"")"),"Communist Party of Nepal (Unified Marxist-Leninist)")</f>
        <v>Communist Party of Nepal (Unified Marxist-Leninist)</v>
      </c>
      <c r="T135" s="1">
        <v>19615</v>
      </c>
      <c r="U135" s="1">
        <v>27.92</v>
      </c>
      <c r="V135" s="1">
        <v>9936</v>
      </c>
      <c r="W135" s="1">
        <v>14.14</v>
      </c>
      <c r="X135" s="1" t="b">
        <v>0</v>
      </c>
      <c r="Y135" s="1">
        <v>3</v>
      </c>
      <c r="Z135" s="1">
        <v>5</v>
      </c>
    </row>
    <row r="136" spans="1:26" x14ac:dyDescent="0.25">
      <c r="A136" s="1">
        <v>5</v>
      </c>
      <c r="B136" s="1" t="s">
        <v>310</v>
      </c>
      <c r="C136" s="1" t="str">
        <f ca="1">IFERROR(__xludf.DUMMYFUNCTION("GOOGLETRANSLATE(B135, ""ne"", ""en"")"),"Lumbini Province")</f>
        <v>Lumbini Province</v>
      </c>
      <c r="D136" s="1">
        <v>66</v>
      </c>
      <c r="E136" s="1" t="s">
        <v>365</v>
      </c>
      <c r="F136" s="1" t="str">
        <f ca="1">IFERROR(__xludf.DUMMYFUNCTION("GOOGLETRANSLATE(E135,""ne"", ""en"")"),"Bardiya")</f>
        <v>Bardiya</v>
      </c>
      <c r="G136" s="1">
        <v>1</v>
      </c>
      <c r="H136" s="1">
        <v>21</v>
      </c>
      <c r="I136" s="1">
        <v>96609</v>
      </c>
      <c r="J136" s="1" t="s">
        <v>366</v>
      </c>
      <c r="K136" s="1" t="str">
        <f ca="1">IFERROR(__xludf.DUMMYFUNCTION("GOOGLETRANSLATE(J135, ""ne"", ""en"")"),"Thakur Singh Tharu")</f>
        <v>Thakur Singh Tharu</v>
      </c>
      <c r="L136" s="1" t="s">
        <v>43</v>
      </c>
      <c r="M136" s="1" t="str">
        <f ca="1">IFERROR(__xludf.DUMMYFUNCTION("GOOGLETRANSLATE(L135, ""ne"", ""en"")"),"National Independence Party")</f>
        <v>National Independence Party</v>
      </c>
      <c r="N136" s="1">
        <v>49631</v>
      </c>
      <c r="O136" s="1">
        <v>51.37</v>
      </c>
      <c r="P136" s="1" t="s">
        <v>367</v>
      </c>
      <c r="Q136" s="1" t="str">
        <f ca="1">IFERROR(__xludf.DUMMYFUNCTION("GOOGLETRANSLATE(P135,""ne"", ""en"")"),"Salik Ram Adhikari")</f>
        <v>Salik Ram Adhikari</v>
      </c>
      <c r="R136" s="1" t="s">
        <v>29</v>
      </c>
      <c r="S136" s="1" t="str">
        <f ca="1">IFERROR(__xludf.DUMMYFUNCTION("GOOGLETRANSLATE(R135, ""ne"", ""en"")"),"Communist Party of Nepal (Unified Marxist-Leninist)")</f>
        <v>Communist Party of Nepal (Unified Marxist-Leninist)</v>
      </c>
      <c r="T136" s="1">
        <v>14643</v>
      </c>
      <c r="U136" s="1">
        <v>15.16</v>
      </c>
      <c r="V136" s="1">
        <v>34988</v>
      </c>
      <c r="W136" s="1">
        <v>36.22</v>
      </c>
      <c r="X136" s="1" t="b">
        <v>0</v>
      </c>
      <c r="Y136" s="1">
        <v>3</v>
      </c>
      <c r="Z136" s="1">
        <v>3</v>
      </c>
    </row>
    <row r="137" spans="1:26" x14ac:dyDescent="0.25">
      <c r="A137" s="1">
        <v>5</v>
      </c>
      <c r="B137" s="1" t="s">
        <v>310</v>
      </c>
      <c r="C137" s="1" t="str">
        <f ca="1">IFERROR(__xludf.DUMMYFUNCTION("GOOGLETRANSLATE(B136, ""ne"", ""en"")"),"Lumbini Province")</f>
        <v>Lumbini Province</v>
      </c>
      <c r="D137" s="1">
        <v>66</v>
      </c>
      <c r="E137" s="1" t="s">
        <v>365</v>
      </c>
      <c r="F137" s="1" t="str">
        <f ca="1">IFERROR(__xludf.DUMMYFUNCTION("GOOGLETRANSLATE(E136,""ne"", ""en"")"),"Bardiya")</f>
        <v>Bardiya</v>
      </c>
      <c r="G137" s="1">
        <v>2</v>
      </c>
      <c r="H137" s="1">
        <v>15</v>
      </c>
      <c r="I137" s="1">
        <v>88130</v>
      </c>
      <c r="J137" s="1" t="s">
        <v>368</v>
      </c>
      <c r="K137" s="1" t="str">
        <f ca="1">IFERROR(__xludf.DUMMYFUNCTION("GOOGLETRANSLATE(J136, ""ne"", ""en"")"),"Shridhar Pokhrel")</f>
        <v>Shridhar Pokhrel</v>
      </c>
      <c r="L137" s="1" t="s">
        <v>43</v>
      </c>
      <c r="M137" s="1" t="str">
        <f ca="1">IFERROR(__xludf.DUMMYFUNCTION("GOOGLETRANSLATE(L136, ""ne"", ""en"")"),"National Independence Party")</f>
        <v>National Independence Party</v>
      </c>
      <c r="N137" s="1">
        <v>29678</v>
      </c>
      <c r="O137" s="1">
        <v>33.68</v>
      </c>
      <c r="P137" s="1" t="s">
        <v>369</v>
      </c>
      <c r="Q137" s="1" t="str">
        <f ca="1">IFERROR(__xludf.DUMMYFUNCTION("GOOGLETRANSLATE(P136,""ne"", ""en"")"),"Kishore Singh Rathore")</f>
        <v>Kishore Singh Rathore</v>
      </c>
      <c r="R137" s="1" t="s">
        <v>31</v>
      </c>
      <c r="S137" s="1" t="str">
        <f ca="1">IFERROR(__xludf.DUMMYFUNCTION("GOOGLETRANSLATE(R136, ""ne"", ""en"")"),"Nepali Congress")</f>
        <v>Nepali Congress</v>
      </c>
      <c r="T137" s="1">
        <v>20402</v>
      </c>
      <c r="U137" s="1">
        <v>23.15</v>
      </c>
      <c r="V137" s="1">
        <v>9276</v>
      </c>
      <c r="W137" s="1">
        <v>10.53</v>
      </c>
      <c r="X137" s="1" t="b">
        <v>0</v>
      </c>
      <c r="Y137" s="1">
        <v>2</v>
      </c>
      <c r="Z137" s="1">
        <v>0</v>
      </c>
    </row>
    <row r="138" spans="1:26" x14ac:dyDescent="0.25">
      <c r="A138" s="1">
        <v>5</v>
      </c>
      <c r="B138" s="1" t="s">
        <v>310</v>
      </c>
      <c r="C138" s="1" t="str">
        <f ca="1">IFERROR(__xludf.DUMMYFUNCTION("GOOGLETRANSLATE(B137, ""ne"", ""en"")"),"Lumbini Province")</f>
        <v>Lumbini Province</v>
      </c>
      <c r="D138" s="1">
        <v>77</v>
      </c>
      <c r="E138" s="1" t="s">
        <v>370</v>
      </c>
      <c r="F138" s="1" t="str">
        <f ca="1">IFERROR(__xludf.DUMMYFUNCTION("GOOGLETRANSLATE(E137,""ne"", ""en"")"),"Nawalparasi (Bardaghat Susta West)")</f>
        <v>Nawalparasi (Bardaghat Susta West)</v>
      </c>
      <c r="G138" s="1">
        <v>1</v>
      </c>
      <c r="H138" s="1">
        <v>26</v>
      </c>
      <c r="I138" s="1">
        <v>77089</v>
      </c>
      <c r="J138" s="1" t="s">
        <v>371</v>
      </c>
      <c r="K138" s="1" t="str">
        <f ca="1">IFERROR(__xludf.DUMMYFUNCTION("GOOGLETRANSLATE(J137, ""ne"", ""en"")"),"Vikram Khanal")</f>
        <v>Vikram Khanal</v>
      </c>
      <c r="L138" s="1" t="s">
        <v>43</v>
      </c>
      <c r="M138" s="1" t="str">
        <f ca="1">IFERROR(__xludf.DUMMYFUNCTION("GOOGLETRANSLATE(L137, ""ne"", ""en"")"),"National Independence Party")</f>
        <v>National Independence Party</v>
      </c>
      <c r="N138" s="1">
        <v>45241</v>
      </c>
      <c r="O138" s="1">
        <v>58.69</v>
      </c>
      <c r="P138" s="1" t="s">
        <v>372</v>
      </c>
      <c r="Q138" s="1" t="str">
        <f ca="1">IFERROR(__xludf.DUMMYFUNCTION("GOOGLETRANSLATE(P137,""ne"", ""en"")"),"Vinod Kumar Chaudhary")</f>
        <v>Vinod Kumar Chaudhary</v>
      </c>
      <c r="R138" s="1" t="s">
        <v>31</v>
      </c>
      <c r="S138" s="1" t="str">
        <f ca="1">IFERROR(__xludf.DUMMYFUNCTION("GOOGLETRANSLATE(R137, ""ne"", ""en"")"),"Nepali Congress")</f>
        <v>Nepali Congress</v>
      </c>
      <c r="T138" s="1">
        <v>9502</v>
      </c>
      <c r="U138" s="1">
        <v>12.33</v>
      </c>
      <c r="V138" s="1">
        <v>35739</v>
      </c>
      <c r="W138" s="1">
        <v>46.36</v>
      </c>
      <c r="X138" s="1" t="b">
        <v>0</v>
      </c>
      <c r="Y138" s="1">
        <v>2</v>
      </c>
      <c r="Z138" s="1">
        <v>11</v>
      </c>
    </row>
    <row r="139" spans="1:26" x14ac:dyDescent="0.25">
      <c r="A139" s="1">
        <v>5</v>
      </c>
      <c r="B139" s="1" t="s">
        <v>310</v>
      </c>
      <c r="C139" s="1" t="str">
        <f ca="1">IFERROR(__xludf.DUMMYFUNCTION("GOOGLETRANSLATE(B138, ""ne"", ""en"")"),"Lumbini Province")</f>
        <v>Lumbini Province</v>
      </c>
      <c r="D139" s="1">
        <v>77</v>
      </c>
      <c r="E139" s="1" t="s">
        <v>370</v>
      </c>
      <c r="F139" s="1" t="str">
        <f ca="1">IFERROR(__xludf.DUMMYFUNCTION("GOOGLETRANSLATE(E138,""ne"", ""en"")"),"Nawalparasi (Bardaghat Susta West)")</f>
        <v>Nawalparasi (Bardaghat Susta West)</v>
      </c>
      <c r="G139" s="1">
        <v>2</v>
      </c>
      <c r="H139" s="1">
        <v>29</v>
      </c>
      <c r="I139" s="1">
        <v>83456</v>
      </c>
      <c r="J139" s="1" t="s">
        <v>373</v>
      </c>
      <c r="K139" s="1" t="str">
        <f ca="1">IFERROR(__xludf.DUMMYFUNCTION("GOOGLETRANSLATE(J138, ""ne"", ""en"")"),"Narendra Kumar Gupta")</f>
        <v>Narendra Kumar Gupta</v>
      </c>
      <c r="L139" s="1" t="s">
        <v>43</v>
      </c>
      <c r="M139" s="1" t="str">
        <f ca="1">IFERROR(__xludf.DUMMYFUNCTION("GOOGLETRANSLATE(L138, ""ne"", ""en"")"),"National Independence Party")</f>
        <v>National Independence Party</v>
      </c>
      <c r="N139" s="1">
        <v>44138</v>
      </c>
      <c r="O139" s="1">
        <v>52.89</v>
      </c>
      <c r="P139" s="1" t="s">
        <v>374</v>
      </c>
      <c r="Q139" s="1" t="str">
        <f ca="1">IFERROR(__xludf.DUMMYFUNCTION("GOOGLETRANSLATE(P138,""ne"", ""en"")"),"Bhim Bahadur Thapa Chhetri")</f>
        <v>Bhim Bahadur Thapa Chhetri</v>
      </c>
      <c r="R139" s="1" t="s">
        <v>31</v>
      </c>
      <c r="S139" s="1" t="str">
        <f ca="1">IFERROR(__xludf.DUMMYFUNCTION("GOOGLETRANSLATE(R138, ""ne"", ""en"")"),"Nepali Congress")</f>
        <v>Nepali Congress</v>
      </c>
      <c r="T139" s="1">
        <v>15945</v>
      </c>
      <c r="U139" s="1">
        <v>19.11</v>
      </c>
      <c r="V139" s="1">
        <v>28193</v>
      </c>
      <c r="W139" s="1">
        <v>33.78</v>
      </c>
      <c r="X139" s="1" t="b">
        <v>0</v>
      </c>
      <c r="Y139" s="1">
        <v>2</v>
      </c>
      <c r="Z139" s="1">
        <v>12</v>
      </c>
    </row>
    <row r="140" spans="1:26" x14ac:dyDescent="0.25">
      <c r="A140" s="1">
        <v>6</v>
      </c>
      <c r="B140" s="1" t="s">
        <v>375</v>
      </c>
      <c r="C140" s="1" t="str">
        <f ca="1">IFERROR(__xludf.DUMMYFUNCTION("GOOGLETRANSLATE(B139, ""ne"", ""en"")"),"Karnali Province")</f>
        <v>Karnali Province</v>
      </c>
      <c r="D140" s="1">
        <v>55</v>
      </c>
      <c r="E140" s="1" t="s">
        <v>376</v>
      </c>
      <c r="F140" s="1" t="str">
        <f ca="1">IFERROR(__xludf.DUMMYFUNCTION("GOOGLETRANSLATE(E139,""ne"", ""en"")"),"Salyan")</f>
        <v>Salyan</v>
      </c>
      <c r="G140" s="1">
        <v>1</v>
      </c>
      <c r="H140" s="1">
        <v>14</v>
      </c>
      <c r="I140" s="1">
        <v>79709</v>
      </c>
      <c r="J140" s="1" t="s">
        <v>377</v>
      </c>
      <c r="K140" s="1" t="str">
        <f ca="1">IFERROR(__xludf.DUMMYFUNCTION("GOOGLETRANSLATE(J139, ""ne"", ""en"")"),"Ramesh Kumar Mall")</f>
        <v>Ramesh Kumar Mall</v>
      </c>
      <c r="L140" s="1" t="s">
        <v>91</v>
      </c>
      <c r="M140" s="1" t="str">
        <f ca="1">IFERROR(__xludf.DUMMYFUNCTION("GOOGLETRANSLATE(L139, ""ne"", ""en"")"),"Nepali Communist Party")</f>
        <v>Nepali Communist Party</v>
      </c>
      <c r="N140" s="1">
        <v>23189</v>
      </c>
      <c r="O140" s="1">
        <v>29.09</v>
      </c>
      <c r="P140" s="1" t="s">
        <v>378</v>
      </c>
      <c r="Q140" s="1" t="str">
        <f ca="1">IFERROR(__xludf.DUMMYFUNCTION("GOOGLETRANSLATE(P139,""ne"", ""en"")"),"Lalit Kumar Chand")</f>
        <v>Lalit Kumar Chand</v>
      </c>
      <c r="R140" s="1" t="s">
        <v>43</v>
      </c>
      <c r="S140" s="1" t="str">
        <f ca="1">IFERROR(__xludf.DUMMYFUNCTION("GOOGLETRANSLATE(R139, ""ne"", ""en"")"),"National Independence Party")</f>
        <v>National Independence Party</v>
      </c>
      <c r="T140" s="1">
        <v>20904</v>
      </c>
      <c r="U140" s="1">
        <v>26.23</v>
      </c>
      <c r="V140" s="1">
        <v>2285</v>
      </c>
      <c r="W140" s="1">
        <v>2.87</v>
      </c>
      <c r="X140" s="1" t="b">
        <v>0</v>
      </c>
      <c r="Y140" s="1">
        <v>2</v>
      </c>
      <c r="Z140" s="1">
        <v>2</v>
      </c>
    </row>
    <row r="141" spans="1:26" x14ac:dyDescent="0.25">
      <c r="A141" s="1">
        <v>6</v>
      </c>
      <c r="B141" s="1" t="s">
        <v>375</v>
      </c>
      <c r="C141" s="1" t="str">
        <f ca="1">IFERROR(__xludf.DUMMYFUNCTION("GOOGLETRANSLATE(B140, ""ne"", ""en"")"),"Karnali Province")</f>
        <v>Karnali Province</v>
      </c>
      <c r="D141" s="1">
        <v>57</v>
      </c>
      <c r="E141" s="1" t="s">
        <v>379</v>
      </c>
      <c r="F141" s="1" t="str">
        <f ca="1">IFERROR(__xludf.DUMMYFUNCTION("GOOGLETRANSLATE(E140,""ne"", ""en"")"),"Dolpa")</f>
        <v>Dolpa</v>
      </c>
      <c r="G141" s="1">
        <v>1</v>
      </c>
      <c r="H141" s="1">
        <v>9</v>
      </c>
      <c r="I141" s="1">
        <v>15506</v>
      </c>
      <c r="J141" s="1" t="s">
        <v>380</v>
      </c>
      <c r="K141" s="1" t="str">
        <f ca="1">IFERROR(__xludf.DUMMYFUNCTION("GOOGLETRANSLATE(J140, ""ne"", ""en"")"),"Dhan Bahadur Budha")</f>
        <v>Dhan Bahadur Budha</v>
      </c>
      <c r="L141" s="1" t="s">
        <v>91</v>
      </c>
      <c r="M141" s="1" t="str">
        <f ca="1">IFERROR(__xludf.DUMMYFUNCTION("GOOGLETRANSLATE(L140, ""ne"", ""en"")"),"Nepali Communist Party")</f>
        <v>Nepali Communist Party</v>
      </c>
      <c r="N141" s="1">
        <v>6802</v>
      </c>
      <c r="O141" s="1">
        <v>43.87</v>
      </c>
      <c r="P141" s="1" t="s">
        <v>381</v>
      </c>
      <c r="Q141" s="1" t="str">
        <f ca="1">IFERROR(__xludf.DUMMYFUNCTION("GOOGLETRANSLATE(P140,""ne"", ""en"")"),"Lank Bahadur stopped")</f>
        <v>Lank Bahadur stopped</v>
      </c>
      <c r="R141" s="1" t="s">
        <v>29</v>
      </c>
      <c r="S141" s="1" t="str">
        <f ca="1">IFERROR(__xludf.DUMMYFUNCTION("GOOGLETRANSLATE(R140, ""ne"", ""en"")"),"Communist Party of Nepal (Unified Marxist-Leninist)")</f>
        <v>Communist Party of Nepal (Unified Marxist-Leninist)</v>
      </c>
      <c r="T141" s="1">
        <v>5396</v>
      </c>
      <c r="U141" s="1">
        <v>34.799999999999997</v>
      </c>
      <c r="V141" s="1">
        <v>1406</v>
      </c>
      <c r="W141" s="1">
        <v>9.07</v>
      </c>
      <c r="X141" s="1" t="b">
        <v>0</v>
      </c>
      <c r="Y141" s="1">
        <v>1</v>
      </c>
      <c r="Z141" s="1">
        <v>1</v>
      </c>
    </row>
    <row r="142" spans="1:26" x14ac:dyDescent="0.25">
      <c r="A142" s="1">
        <v>6</v>
      </c>
      <c r="B142" s="1" t="s">
        <v>375</v>
      </c>
      <c r="C142" s="1" t="str">
        <f ca="1">IFERROR(__xludf.DUMMYFUNCTION("GOOGLETRANSLATE(B141, ""ne"", ""en"")"),"Karnali Province")</f>
        <v>Karnali Province</v>
      </c>
      <c r="D142" s="1">
        <v>58</v>
      </c>
      <c r="E142" s="1" t="s">
        <v>382</v>
      </c>
      <c r="F142" s="1" t="str">
        <f ca="1">IFERROR(__xludf.DUMMYFUNCTION("GOOGLETRANSLATE(E141,""ne"", ""en"")"),"Mugu")</f>
        <v>Mugu</v>
      </c>
      <c r="G142" s="1">
        <v>1</v>
      </c>
      <c r="H142" s="1">
        <v>7</v>
      </c>
      <c r="I142" s="1">
        <v>21225</v>
      </c>
      <c r="J142" s="1" t="s">
        <v>383</v>
      </c>
      <c r="K142" s="1" t="str">
        <f ca="1">IFERROR(__xludf.DUMMYFUNCTION("GOOGLETRANSLATE(J141, ""ne"", ""en"")"),"Khadga Shahi")</f>
        <v>Khadga Shahi</v>
      </c>
      <c r="L142" s="1" t="s">
        <v>31</v>
      </c>
      <c r="M142" s="1" t="str">
        <f ca="1">IFERROR(__xludf.DUMMYFUNCTION("GOOGLETRANSLATE(L141, ""ne"", ""en"")"),"Nepali Congress")</f>
        <v>Nepali Congress</v>
      </c>
      <c r="N142" s="1">
        <v>7914</v>
      </c>
      <c r="O142" s="1">
        <v>37.29</v>
      </c>
      <c r="P142" s="1" t="s">
        <v>384</v>
      </c>
      <c r="Q142" s="1" t="str">
        <f ca="1">IFERROR(__xludf.DUMMYFUNCTION("GOOGLETRANSLATE(P141,""ne"", ""en"")"),"Completely brave Rokaya")</f>
        <v>Completely brave Rokaya</v>
      </c>
      <c r="R142" s="1" t="s">
        <v>29</v>
      </c>
      <c r="S142" s="1" t="str">
        <f ca="1">IFERROR(__xludf.DUMMYFUNCTION("GOOGLETRANSLATE(R141, ""ne"", ""en"")"),"Communist Party of Nepal (Unified Marxist-Leninist)")</f>
        <v>Communist Party of Nepal (Unified Marxist-Leninist)</v>
      </c>
      <c r="T142" s="1">
        <v>6718</v>
      </c>
      <c r="U142" s="1">
        <v>31.65</v>
      </c>
      <c r="V142" s="1">
        <v>1196</v>
      </c>
      <c r="W142" s="1">
        <v>5.63</v>
      </c>
      <c r="X142" s="1" t="b">
        <v>0</v>
      </c>
      <c r="Y142" s="1">
        <v>0</v>
      </c>
      <c r="Z142" s="1">
        <v>0</v>
      </c>
    </row>
    <row r="143" spans="1:26" x14ac:dyDescent="0.25">
      <c r="A143" s="1">
        <v>6</v>
      </c>
      <c r="B143" s="1" t="s">
        <v>375</v>
      </c>
      <c r="C143" s="1" t="str">
        <f ca="1">IFERROR(__xludf.DUMMYFUNCTION("GOOGLETRANSLATE(B142, ""ne"", ""en"")"),"Karnali Province")</f>
        <v>Karnali Province</v>
      </c>
      <c r="D143" s="1">
        <v>59</v>
      </c>
      <c r="E143" s="1" t="s">
        <v>385</v>
      </c>
      <c r="F143" s="1" t="str">
        <f ca="1">IFERROR(__xludf.DUMMYFUNCTION("GOOGLETRANSLATE(E142,""ne"", ""en"")"),"Jumla")</f>
        <v>Jumla</v>
      </c>
      <c r="G143" s="1">
        <v>1</v>
      </c>
      <c r="H143" s="1">
        <v>10</v>
      </c>
      <c r="I143" s="1">
        <v>39173</v>
      </c>
      <c r="J143" s="1" t="s">
        <v>386</v>
      </c>
      <c r="K143" s="1" t="str">
        <f ca="1">IFERROR(__xludf.DUMMYFUNCTION("GOOGLETRANSLATE(J142, ""ne"", ""en"")"),"Gyan Bahadur Shahi")</f>
        <v>Gyan Bahadur Shahi</v>
      </c>
      <c r="L143" s="1" t="s">
        <v>49</v>
      </c>
      <c r="M143" s="1" t="str">
        <f ca="1">IFERROR(__xludf.DUMMYFUNCTION("GOOGLETRANSLATE(L142, ""ne"", ""en"")"),"National Democratic Party")</f>
        <v>National Democratic Party</v>
      </c>
      <c r="N143" s="1">
        <v>14816</v>
      </c>
      <c r="O143" s="1">
        <v>37.82</v>
      </c>
      <c r="P143" s="1" t="s">
        <v>387</v>
      </c>
      <c r="Q143" s="1" t="str">
        <f ca="1">IFERROR(__xludf.DUMMYFUNCTION("GOOGLETRANSLATE(P142,""ne"", ""en"")"),"Naresh Bhandari")</f>
        <v>Naresh Bhandari</v>
      </c>
      <c r="R143" s="1" t="s">
        <v>91</v>
      </c>
      <c r="S143" s="1" t="str">
        <f ca="1">IFERROR(__xludf.DUMMYFUNCTION("GOOGLETRANSLATE(R142, ""ne"", ""en"")"),"Nepali Communist Party")</f>
        <v>Nepali Communist Party</v>
      </c>
      <c r="T143" s="1">
        <v>11635</v>
      </c>
      <c r="U143" s="1">
        <v>29.7</v>
      </c>
      <c r="V143" s="1">
        <v>3181</v>
      </c>
      <c r="W143" s="1">
        <v>8.1199999999999992</v>
      </c>
      <c r="X143" s="1" t="b">
        <v>0</v>
      </c>
      <c r="Y143" s="1">
        <v>1</v>
      </c>
      <c r="Z143" s="1">
        <v>1</v>
      </c>
    </row>
    <row r="144" spans="1:26" x14ac:dyDescent="0.25">
      <c r="A144" s="1">
        <v>6</v>
      </c>
      <c r="B144" s="1" t="s">
        <v>375</v>
      </c>
      <c r="C144" s="1" t="str">
        <f ca="1">IFERROR(__xludf.DUMMYFUNCTION("GOOGLETRANSLATE(B143, ""ne"", ""en"")"),"Karnali Province")</f>
        <v>Karnali Province</v>
      </c>
      <c r="D144" s="1">
        <v>60</v>
      </c>
      <c r="E144" s="1" t="s">
        <v>388</v>
      </c>
      <c r="F144" s="1" t="str">
        <f ca="1">IFERROR(__xludf.DUMMYFUNCTION("GOOGLETRANSLATE(E143,""ne"", ""en"")"),"Kalikot")</f>
        <v>Kalikot</v>
      </c>
      <c r="G144" s="1">
        <v>1</v>
      </c>
      <c r="H144" s="1">
        <v>10</v>
      </c>
      <c r="I144" s="1">
        <v>39377</v>
      </c>
      <c r="J144" s="1" t="s">
        <v>389</v>
      </c>
      <c r="K144" s="1" t="str">
        <f ca="1">IFERROR(__xludf.DUMMYFUNCTION("GOOGLETRANSLATE(J143, ""ne"", ""en"")"),"Mahendra Bahadur Shahi")</f>
        <v>Mahendra Bahadur Shahi</v>
      </c>
      <c r="L144" s="1" t="s">
        <v>91</v>
      </c>
      <c r="M144" s="1" t="str">
        <f ca="1">IFERROR(__xludf.DUMMYFUNCTION("GOOGLETRANSLATE(L143, ""ne"", ""en"")"),"Nepali Communist Party")</f>
        <v>Nepali Communist Party</v>
      </c>
      <c r="N144" s="1">
        <v>11734</v>
      </c>
      <c r="O144" s="1">
        <v>29.8</v>
      </c>
      <c r="P144" s="1" t="s">
        <v>390</v>
      </c>
      <c r="Q144" s="1" t="str">
        <f ca="1">IFERROR(__xludf.DUMMYFUNCTION("GOOGLETRANSLATE(P143,""ne"", ""en"")"),"Shri Nagindra Shahi")</f>
        <v>Shri Nagindra Shahi</v>
      </c>
      <c r="R144" s="1" t="s">
        <v>29</v>
      </c>
      <c r="S144" s="1" t="str">
        <f ca="1">IFERROR(__xludf.DUMMYFUNCTION("GOOGLETRANSLATE(R143, ""ne"", ""en"")"),"Communist Party of Nepal (Unified Marxist-Leninist)")</f>
        <v>Communist Party of Nepal (Unified Marxist-Leninist)</v>
      </c>
      <c r="T144" s="1">
        <v>10647</v>
      </c>
      <c r="U144" s="1">
        <v>27.04</v>
      </c>
      <c r="V144" s="1">
        <v>1087</v>
      </c>
      <c r="W144" s="1">
        <v>2.76</v>
      </c>
      <c r="X144" s="1" t="b">
        <v>0</v>
      </c>
      <c r="Y144" s="1">
        <v>0</v>
      </c>
      <c r="Z144" s="1">
        <v>2</v>
      </c>
    </row>
    <row r="145" spans="1:26" x14ac:dyDescent="0.25">
      <c r="A145" s="1">
        <v>6</v>
      </c>
      <c r="B145" s="1" t="s">
        <v>375</v>
      </c>
      <c r="C145" s="1" t="str">
        <f ca="1">IFERROR(__xludf.DUMMYFUNCTION("GOOGLETRANSLATE(B144, ""ne"", ""en"")"),"Karnali Province")</f>
        <v>Karnali Province</v>
      </c>
      <c r="D145" s="1">
        <v>61</v>
      </c>
      <c r="E145" s="1" t="s">
        <v>391</v>
      </c>
      <c r="F145" s="1" t="str">
        <f ca="1">IFERROR(__xludf.DUMMYFUNCTION("GOOGLETRANSLATE(E144,""ne"", ""en"")"),"Humla")</f>
        <v>Humla</v>
      </c>
      <c r="G145" s="1">
        <v>1</v>
      </c>
      <c r="H145" s="1">
        <v>7</v>
      </c>
      <c r="I145" s="1">
        <v>21935</v>
      </c>
      <c r="J145" s="1" t="s">
        <v>392</v>
      </c>
      <c r="K145" s="1" t="str">
        <f ca="1">IFERROR(__xludf.DUMMYFUNCTION("GOOGLETRANSLATE(J144, ""ne"", ""en"")"),"Jai Pati stopped")</f>
        <v>Jai Pati stopped</v>
      </c>
      <c r="L145" s="1" t="s">
        <v>31</v>
      </c>
      <c r="M145" s="1" t="str">
        <f ca="1">IFERROR(__xludf.DUMMYFUNCTION("GOOGLETRANSLATE(L144, ""ne"", ""en"")"),"Nepali Congress")</f>
        <v>Nepali Congress</v>
      </c>
      <c r="N145" s="1">
        <v>8797</v>
      </c>
      <c r="O145" s="1">
        <v>40.1</v>
      </c>
      <c r="P145" s="1" t="s">
        <v>393</v>
      </c>
      <c r="Q145" s="1" t="str">
        <f ca="1">IFERROR(__xludf.DUMMYFUNCTION("GOOGLETRANSLATE(P144,""ne"", ""en"")"),"Dipendra stopped")</f>
        <v>Dipendra stopped</v>
      </c>
      <c r="R145" s="1" t="s">
        <v>91</v>
      </c>
      <c r="S145" s="1" t="str">
        <f ca="1">IFERROR(__xludf.DUMMYFUNCTION("GOOGLETRANSLATE(R144, ""ne"", ""en"")"),"Nepali Communist Party")</f>
        <v>Nepali Communist Party</v>
      </c>
      <c r="T145" s="1">
        <v>7243</v>
      </c>
      <c r="U145" s="1">
        <v>33.020000000000003</v>
      </c>
      <c r="V145" s="1">
        <v>1554</v>
      </c>
      <c r="W145" s="1">
        <v>7.08</v>
      </c>
      <c r="X145" s="1" t="b">
        <v>0</v>
      </c>
      <c r="Y145" s="1">
        <v>1</v>
      </c>
      <c r="Z145" s="1">
        <v>0</v>
      </c>
    </row>
    <row r="146" spans="1:26" x14ac:dyDescent="0.25">
      <c r="A146" s="1">
        <v>6</v>
      </c>
      <c r="B146" s="1" t="s">
        <v>375</v>
      </c>
      <c r="C146" s="1" t="str">
        <f ca="1">IFERROR(__xludf.DUMMYFUNCTION("GOOGLETRANSLATE(B145, ""ne"", ""en"")"),"Karnali Province")</f>
        <v>Karnali Province</v>
      </c>
      <c r="D146" s="1">
        <v>62</v>
      </c>
      <c r="E146" s="1" t="s">
        <v>394</v>
      </c>
      <c r="F146" s="1" t="str">
        <f ca="1">IFERROR(__xludf.DUMMYFUNCTION("GOOGLETRANSLATE(E145,""ne"", ""en"")"),"Jajarkot")</f>
        <v>Jajarkot</v>
      </c>
      <c r="G146" s="1">
        <v>1</v>
      </c>
      <c r="H146" s="1">
        <v>11</v>
      </c>
      <c r="I146" s="1">
        <v>57668</v>
      </c>
      <c r="J146" s="1" t="s">
        <v>395</v>
      </c>
      <c r="K146" s="1" t="str">
        <f ca="1">IFERROR(__xludf.DUMMYFUNCTION("GOOGLETRANSLATE(J145, ""ne"", ""en"")"),"Khadak Bahadur Buda")</f>
        <v>Khadak Bahadur Buda</v>
      </c>
      <c r="L146" s="1" t="s">
        <v>31</v>
      </c>
      <c r="M146" s="1" t="str">
        <f ca="1">IFERROR(__xludf.DUMMYFUNCTION("GOOGLETRANSLATE(L145, ""ne"", ""en"")"),"Nepali Congress")</f>
        <v>Nepali Congress</v>
      </c>
      <c r="N146" s="1">
        <v>20142</v>
      </c>
      <c r="O146" s="1">
        <v>34.93</v>
      </c>
      <c r="P146" s="1" t="s">
        <v>396</v>
      </c>
      <c r="Q146" s="1" t="str">
        <f ca="1">IFERROR(__xludf.DUMMYFUNCTION("GOOGLETRANSLATE(P145,""ne"", ""en"")"),"Shakti Bahadur Vasnet")</f>
        <v>Shakti Bahadur Vasnet</v>
      </c>
      <c r="R146" s="1" t="s">
        <v>91</v>
      </c>
      <c r="S146" s="1" t="str">
        <f ca="1">IFERROR(__xludf.DUMMYFUNCTION("GOOGLETRANSLATE(R145, ""ne"", ""en"")"),"Nepali Communist Party")</f>
        <v>Nepali Communist Party</v>
      </c>
      <c r="T146" s="1">
        <v>17407</v>
      </c>
      <c r="U146" s="1">
        <v>30.18</v>
      </c>
      <c r="V146" s="1">
        <v>2735</v>
      </c>
      <c r="W146" s="1">
        <v>4.74</v>
      </c>
      <c r="X146" s="1" t="b">
        <v>0</v>
      </c>
      <c r="Y146" s="1">
        <v>0</v>
      </c>
      <c r="Z146" s="1">
        <v>0</v>
      </c>
    </row>
    <row r="147" spans="1:26" x14ac:dyDescent="0.25">
      <c r="A147" s="1">
        <v>6</v>
      </c>
      <c r="B147" s="1" t="s">
        <v>375</v>
      </c>
      <c r="C147" s="1" t="str">
        <f ca="1">IFERROR(__xludf.DUMMYFUNCTION("GOOGLETRANSLATE(B146, ""ne"", ""en"")"),"Karnali Province")</f>
        <v>Karnali Province</v>
      </c>
      <c r="D147" s="1">
        <v>63</v>
      </c>
      <c r="E147" s="1" t="s">
        <v>397</v>
      </c>
      <c r="F147" s="1" t="str">
        <f ca="1">IFERROR(__xludf.DUMMYFUNCTION("GOOGLETRANSLATE(E146,""ne"", ""en"")"),"Dailekh")</f>
        <v>Dailekh</v>
      </c>
      <c r="G147" s="1">
        <v>1</v>
      </c>
      <c r="H147" s="1">
        <v>10</v>
      </c>
      <c r="I147" s="1">
        <v>37846</v>
      </c>
      <c r="J147" s="1" t="s">
        <v>398</v>
      </c>
      <c r="K147" s="1" t="str">
        <f ca="1">IFERROR(__xludf.DUMMYFUNCTION("GOOGLETRANSLATE(J146, ""ne"", ""en"")"),"Basna Thapa")</f>
        <v>Basna Thapa</v>
      </c>
      <c r="L147" s="1" t="s">
        <v>31</v>
      </c>
      <c r="M147" s="1" t="str">
        <f ca="1">IFERROR(__xludf.DUMMYFUNCTION("GOOGLETRANSLATE(L146, ""ne"", ""en"")"),"Nepali Congress")</f>
        <v>Nepali Congress</v>
      </c>
      <c r="N147" s="1">
        <v>12372</v>
      </c>
      <c r="O147" s="1">
        <v>32.69</v>
      </c>
      <c r="P147" s="1" t="s">
        <v>399</v>
      </c>
      <c r="Q147" s="1" t="str">
        <f ca="1">IFERROR(__xludf.DUMMYFUNCTION("GOOGLETRANSLATE(P146,""ne"", ""en"")"),"Ravindra Raj Sharma")</f>
        <v>Ravindra Raj Sharma</v>
      </c>
      <c r="R147" s="1" t="s">
        <v>29</v>
      </c>
      <c r="S147" s="1" t="str">
        <f ca="1">IFERROR(__xludf.DUMMYFUNCTION("GOOGLETRANSLATE(R146, ""ne"", ""en"")"),"Communist Party of Nepal (Unified Marxist-Leninist)")</f>
        <v>Communist Party of Nepal (Unified Marxist-Leninist)</v>
      </c>
      <c r="T147" s="1">
        <v>11796</v>
      </c>
      <c r="U147" s="1">
        <v>31.17</v>
      </c>
      <c r="V147" s="1">
        <v>576</v>
      </c>
      <c r="W147" s="1">
        <v>1.52</v>
      </c>
      <c r="X147" s="1" t="b">
        <v>1</v>
      </c>
      <c r="Y147" s="1">
        <v>2</v>
      </c>
      <c r="Z147" s="1">
        <v>1</v>
      </c>
    </row>
    <row r="148" spans="1:26" x14ac:dyDescent="0.25">
      <c r="A148" s="1">
        <v>6</v>
      </c>
      <c r="B148" s="1" t="s">
        <v>375</v>
      </c>
      <c r="C148" s="1" t="str">
        <f ca="1">IFERROR(__xludf.DUMMYFUNCTION("GOOGLETRANSLATE(B147, ""ne"", ""en"")"),"Karnali Province")</f>
        <v>Karnali Province</v>
      </c>
      <c r="D148" s="1">
        <v>63</v>
      </c>
      <c r="E148" s="1" t="s">
        <v>397</v>
      </c>
      <c r="F148" s="1" t="str">
        <f ca="1">IFERROR(__xludf.DUMMYFUNCTION("GOOGLETRANSLATE(E147,""ne"", ""en"")"),"Dailekh")</f>
        <v>Dailekh</v>
      </c>
      <c r="G148" s="1">
        <v>2</v>
      </c>
      <c r="H148" s="1">
        <v>11</v>
      </c>
      <c r="I148" s="1">
        <v>36513</v>
      </c>
      <c r="J148" s="1" t="s">
        <v>400</v>
      </c>
      <c r="K148" s="1" t="str">
        <f ca="1">IFERROR(__xludf.DUMMYFUNCTION("GOOGLETRANSLATE(J147, ""ne"", ""en"")"),"Lakshmi Prasad Pokharel")</f>
        <v>Lakshmi Prasad Pokharel</v>
      </c>
      <c r="L148" s="1" t="s">
        <v>29</v>
      </c>
      <c r="M148" s="1" t="str">
        <f ca="1">IFERROR(__xludf.DUMMYFUNCTION("GOOGLETRANSLATE(L147, ""ne"", ""en"")"),"Communist Party of Nepal (Unified Marxist-Leninist)")</f>
        <v>Communist Party of Nepal (Unified Marxist-Leninist)</v>
      </c>
      <c r="N148" s="1">
        <v>13889</v>
      </c>
      <c r="O148" s="1">
        <v>38.04</v>
      </c>
      <c r="P148" s="1" t="s">
        <v>401</v>
      </c>
      <c r="Q148" s="1" t="str">
        <f ca="1">IFERROR(__xludf.DUMMYFUNCTION("GOOGLETRANSLATE(P147,""ne"", ""en"")"),"Dikpal Kumar Shahi")</f>
        <v>Dikpal Kumar Shahi</v>
      </c>
      <c r="R148" s="1" t="s">
        <v>31</v>
      </c>
      <c r="S148" s="1" t="str">
        <f ca="1">IFERROR(__xludf.DUMMYFUNCTION("GOOGLETRANSLATE(R147, ""ne"", ""en"")"),"Nepali Congress")</f>
        <v>Nepali Congress</v>
      </c>
      <c r="T148" s="1">
        <v>9552</v>
      </c>
      <c r="U148" s="1">
        <v>26.16</v>
      </c>
      <c r="V148" s="1">
        <v>4337</v>
      </c>
      <c r="W148" s="1">
        <v>11.88</v>
      </c>
      <c r="X148" s="1" t="b">
        <v>0</v>
      </c>
      <c r="Y148" s="1">
        <v>2</v>
      </c>
      <c r="Z148" s="1">
        <v>2</v>
      </c>
    </row>
    <row r="149" spans="1:26" x14ac:dyDescent="0.25">
      <c r="A149" s="1">
        <v>6</v>
      </c>
      <c r="B149" s="1" t="s">
        <v>375</v>
      </c>
      <c r="C149" s="1" t="str">
        <f ca="1">IFERROR(__xludf.DUMMYFUNCTION("GOOGLETRANSLATE(B148, ""ne"", ""en"")"),"Karnali Province")</f>
        <v>Karnali Province</v>
      </c>
      <c r="D149" s="1">
        <v>64</v>
      </c>
      <c r="E149" s="1" t="s">
        <v>402</v>
      </c>
      <c r="F149" s="1" t="str">
        <f ca="1">IFERROR(__xludf.DUMMYFUNCTION("GOOGLETRANSLATE(E148,""ne"", ""en"")"),"Surkhet")</f>
        <v>Surkhet</v>
      </c>
      <c r="G149" s="1">
        <v>1</v>
      </c>
      <c r="H149" s="1">
        <v>13</v>
      </c>
      <c r="I149" s="1">
        <v>66227</v>
      </c>
      <c r="J149" s="1" t="s">
        <v>403</v>
      </c>
      <c r="K149" s="1" t="str">
        <f ca="1">IFERROR(__xludf.DUMMYFUNCTION("GOOGLETRANSLATE(J148, ""ne"", ""en"")"),"Vishnu Bahadur Khadka")</f>
        <v>Vishnu Bahadur Khadka</v>
      </c>
      <c r="L149" s="1" t="s">
        <v>31</v>
      </c>
      <c r="M149" s="1" t="str">
        <f ca="1">IFERROR(__xludf.DUMMYFUNCTION("GOOGLETRANSLATE(L148, ""ne"", ""en"")"),"Nepali Congress")</f>
        <v>Nepali Congress</v>
      </c>
      <c r="N149" s="1">
        <v>26897</v>
      </c>
      <c r="O149" s="1">
        <v>40.61</v>
      </c>
      <c r="P149" s="1" t="s">
        <v>404</v>
      </c>
      <c r="Q149" s="1" t="str">
        <f ca="1">IFERROR(__xludf.DUMMYFUNCTION("GOOGLETRANSLATE(P148,""ne"", ""en"")"),"Dhruv Kumar Shahi")</f>
        <v>Dhruv Kumar Shahi</v>
      </c>
      <c r="R149" s="1" t="s">
        <v>29</v>
      </c>
      <c r="S149" s="1" t="str">
        <f ca="1">IFERROR(__xludf.DUMMYFUNCTION("GOOGLETRANSLATE(R148, ""ne"", ""en"")"),"Communist Party of Nepal (Unified Marxist-Leninist)")</f>
        <v>Communist Party of Nepal (Unified Marxist-Leninist)</v>
      </c>
      <c r="T149" s="1">
        <v>18890</v>
      </c>
      <c r="U149" s="1">
        <v>28.52</v>
      </c>
      <c r="V149" s="1">
        <v>8007</v>
      </c>
      <c r="W149" s="1">
        <v>12.09</v>
      </c>
      <c r="X149" s="1" t="b">
        <v>0</v>
      </c>
      <c r="Y149" s="1">
        <v>0</v>
      </c>
      <c r="Z149" s="1">
        <v>0</v>
      </c>
    </row>
    <row r="150" spans="1:26" x14ac:dyDescent="0.25">
      <c r="A150" s="1">
        <v>6</v>
      </c>
      <c r="B150" s="1" t="s">
        <v>375</v>
      </c>
      <c r="C150" s="1" t="str">
        <f ca="1">IFERROR(__xludf.DUMMYFUNCTION("GOOGLETRANSLATE(B149, ""ne"", ""en"")"),"Karnali Province")</f>
        <v>Karnali Province</v>
      </c>
      <c r="D150" s="1">
        <v>64</v>
      </c>
      <c r="E150" s="1" t="s">
        <v>402</v>
      </c>
      <c r="F150" s="1" t="str">
        <f ca="1">IFERROR(__xludf.DUMMYFUNCTION("GOOGLETRANSLATE(E149,""ne"", ""en"")"),"Surkhet")</f>
        <v>Surkhet</v>
      </c>
      <c r="G150" s="1">
        <v>2</v>
      </c>
      <c r="H150" s="1">
        <v>17</v>
      </c>
      <c r="I150" s="1">
        <v>68766</v>
      </c>
      <c r="J150" s="1" t="s">
        <v>405</v>
      </c>
      <c r="K150" s="1" t="str">
        <f ca="1">IFERROR(__xludf.DUMMYFUNCTION("GOOGLETRANSLATE(J149, ""ne"", ""en"")"),"Ramesh Kumar Sapkota")</f>
        <v>Ramesh Kumar Sapkota</v>
      </c>
      <c r="L150" s="1" t="s">
        <v>43</v>
      </c>
      <c r="M150" s="1" t="str">
        <f ca="1">IFERROR(__xludf.DUMMYFUNCTION("GOOGLETRANSLATE(L149, ""ne"", ""en"")"),"National Independence Party")</f>
        <v>National Independence Party</v>
      </c>
      <c r="N150" s="1">
        <v>30826</v>
      </c>
      <c r="O150" s="1">
        <v>44.83</v>
      </c>
      <c r="P150" s="1" t="s">
        <v>406</v>
      </c>
      <c r="Q150" s="1" t="str">
        <f ca="1">IFERROR(__xludf.DUMMYFUNCTION("GOOGLETRANSLATE(P149,""ne"", ""en"")"),"Narayan Kumar Koirala")</f>
        <v>Narayan Kumar Koirala</v>
      </c>
      <c r="R150" s="1" t="s">
        <v>31</v>
      </c>
      <c r="S150" s="1" t="str">
        <f ca="1">IFERROR(__xludf.DUMMYFUNCTION("GOOGLETRANSLATE(R149, ""ne"", ""en"")"),"Nepali Congress")</f>
        <v>Nepali Congress</v>
      </c>
      <c r="T150" s="1">
        <v>16392</v>
      </c>
      <c r="U150" s="1">
        <v>23.84</v>
      </c>
      <c r="V150" s="1">
        <v>14434</v>
      </c>
      <c r="W150" s="1">
        <v>20.99</v>
      </c>
      <c r="X150" s="1" t="b">
        <v>0</v>
      </c>
      <c r="Y150" s="1">
        <v>1</v>
      </c>
      <c r="Z150" s="1">
        <v>3</v>
      </c>
    </row>
    <row r="151" spans="1:26" x14ac:dyDescent="0.25">
      <c r="A151" s="1">
        <v>6</v>
      </c>
      <c r="B151" s="1" t="s">
        <v>375</v>
      </c>
      <c r="C151" s="1" t="str">
        <f ca="1">IFERROR(__xludf.DUMMYFUNCTION("GOOGLETRANSLATE(B150, ""ne"", ""en"")"),"Karnali Province")</f>
        <v>Karnali Province</v>
      </c>
      <c r="D151" s="1">
        <v>78</v>
      </c>
      <c r="E151" s="1" t="s">
        <v>407</v>
      </c>
      <c r="F151" s="1" t="str">
        <f ca="1">IFERROR(__xludf.DUMMYFUNCTION("GOOGLETRANSLATE(E150,""ne"", ""en"")"),"Rukum (Western part)")</f>
        <v>Rukum (Western part)</v>
      </c>
      <c r="G151" s="1">
        <v>1</v>
      </c>
      <c r="H151" s="1">
        <v>12</v>
      </c>
      <c r="I151" s="1">
        <v>59523</v>
      </c>
      <c r="J151" s="1" t="s">
        <v>408</v>
      </c>
      <c r="K151" s="1" t="str">
        <f ca="1">IFERROR(__xludf.DUMMYFUNCTION("GOOGLETRANSLATE(J150, ""ne"", ""en"")"),"Gopal Sharma")</f>
        <v>Gopal Sharma</v>
      </c>
      <c r="L151" s="1" t="s">
        <v>91</v>
      </c>
      <c r="M151" s="1" t="str">
        <f ca="1">IFERROR(__xludf.DUMMYFUNCTION("GOOGLETRANSLATE(L150, ""ne"", ""en"")"),"Nepali Communist Party")</f>
        <v>Nepali Communist Party</v>
      </c>
      <c r="N151" s="1">
        <v>21609</v>
      </c>
      <c r="O151" s="1">
        <v>36.299999999999997</v>
      </c>
      <c r="P151" s="1" t="s">
        <v>409</v>
      </c>
      <c r="Q151" s="1" t="str">
        <f ca="1">IFERROR(__xludf.DUMMYFUNCTION("GOOGLETRANSLATE(P150,""ne"", ""en"")"),"Raju K.C.")</f>
        <v>Raju K.C.</v>
      </c>
      <c r="R151" s="1" t="s">
        <v>31</v>
      </c>
      <c r="S151" s="1" t="str">
        <f ca="1">IFERROR(__xludf.DUMMYFUNCTION("GOOGLETRANSLATE(R150, ""ne"", ""en"")"),"Nepali Congress")</f>
        <v>Nepali Congress</v>
      </c>
      <c r="T151" s="1">
        <v>16661</v>
      </c>
      <c r="U151" s="1">
        <v>27.99</v>
      </c>
      <c r="V151" s="1">
        <v>4948</v>
      </c>
      <c r="W151" s="1">
        <v>8.31</v>
      </c>
      <c r="X151" s="1" t="b">
        <v>0</v>
      </c>
      <c r="Y151" s="1">
        <v>1</v>
      </c>
      <c r="Z151" s="1">
        <v>0</v>
      </c>
    </row>
    <row r="152" spans="1:26" x14ac:dyDescent="0.25">
      <c r="A152" s="1">
        <v>7</v>
      </c>
      <c r="B152" s="1" t="s">
        <v>410</v>
      </c>
      <c r="C152" s="1" t="str">
        <f ca="1">IFERROR(__xludf.DUMMYFUNCTION("GOOGLETRANSLATE(B151, ""ne"", ""en"")"),"Far Western Province")</f>
        <v>Far Western Province</v>
      </c>
      <c r="D152" s="1">
        <v>67</v>
      </c>
      <c r="E152" s="1" t="s">
        <v>411</v>
      </c>
      <c r="F152" s="1" t="str">
        <f ca="1">IFERROR(__xludf.DUMMYFUNCTION("GOOGLETRANSLATE(E151,""ne"", ""en"")"),"Bajura")</f>
        <v>Bajura</v>
      </c>
      <c r="G152" s="1">
        <v>1</v>
      </c>
      <c r="H152" s="1">
        <v>8</v>
      </c>
      <c r="I152" s="1">
        <v>43896</v>
      </c>
      <c r="J152" s="1" t="s">
        <v>412</v>
      </c>
      <c r="K152" s="1" t="str">
        <f ca="1">IFERROR(__xludf.DUMMYFUNCTION("GOOGLETRANSLATE(J151, ""ne"", ""en"")"),"Janak Raj Giri")</f>
        <v>Janak Raj Giri</v>
      </c>
      <c r="L152" s="1" t="s">
        <v>31</v>
      </c>
      <c r="M152" s="1" t="str">
        <f ca="1">IFERROR(__xludf.DUMMYFUNCTION("GOOGLETRANSLATE(L151, ""ne"", ""en"")"),"Nepali Congress")</f>
        <v>Nepali Congress</v>
      </c>
      <c r="N152" s="1">
        <v>17173</v>
      </c>
      <c r="O152" s="1">
        <v>39.119999999999997</v>
      </c>
      <c r="P152" s="1" t="s">
        <v>413</v>
      </c>
      <c r="Q152" s="1" t="str">
        <f ca="1">IFERROR(__xludf.DUMMYFUNCTION("GOOGLETRANSLATE(P151,""ne"", ""en"")"),"Lal Bahadur Thapa")</f>
        <v>Lal Bahadur Thapa</v>
      </c>
      <c r="R152" s="1" t="s">
        <v>29</v>
      </c>
      <c r="S152" s="1" t="str">
        <f ca="1">IFERROR(__xludf.DUMMYFUNCTION("GOOGLETRANSLATE(R151, ""ne"", ""en"")"),"Communist Party of Nepal (Unified Marxist-Leninist)")</f>
        <v>Communist Party of Nepal (Unified Marxist-Leninist)</v>
      </c>
      <c r="T152" s="1">
        <v>16633</v>
      </c>
      <c r="U152" s="1">
        <v>37.89</v>
      </c>
      <c r="V152" s="1">
        <v>540</v>
      </c>
      <c r="W152" s="1">
        <v>1.23</v>
      </c>
      <c r="X152" s="1" t="b">
        <v>1</v>
      </c>
      <c r="Y152" s="1">
        <v>0</v>
      </c>
      <c r="Z152" s="1">
        <v>1</v>
      </c>
    </row>
    <row r="153" spans="1:26" x14ac:dyDescent="0.25">
      <c r="A153" s="1">
        <v>7</v>
      </c>
      <c r="B153" s="1" t="s">
        <v>410</v>
      </c>
      <c r="C153" s="1" t="str">
        <f ca="1">IFERROR(__xludf.DUMMYFUNCTION("GOOGLETRANSLATE(B152, ""ne"", ""en"")"),"Far Western Province")</f>
        <v>Far Western Province</v>
      </c>
      <c r="D153" s="1">
        <v>68</v>
      </c>
      <c r="E153" s="1" t="s">
        <v>414</v>
      </c>
      <c r="F153" s="1" t="str">
        <f ca="1">IFERROR(__xludf.DUMMYFUNCTION("GOOGLETRANSLATE(E152,""ne"", ""en"")"),"Achham")</f>
        <v>Achham</v>
      </c>
      <c r="G153" s="1">
        <v>1</v>
      </c>
      <c r="H153" s="1">
        <v>8</v>
      </c>
      <c r="I153" s="1">
        <v>30348</v>
      </c>
      <c r="J153" s="1" t="s">
        <v>415</v>
      </c>
      <c r="K153" s="1" t="str">
        <f ca="1">IFERROR(__xludf.DUMMYFUNCTION("GOOGLETRANSLATE(J152, ""ne"", ""en"")"),"Bharat Kumar Swar")</f>
        <v>Bharat Kumar Swar</v>
      </c>
      <c r="L153" s="1" t="s">
        <v>31</v>
      </c>
      <c r="M153" s="1" t="str">
        <f ca="1">IFERROR(__xludf.DUMMYFUNCTION("GOOGLETRANSLATE(L152, ""ne"", ""en"")"),"Nepali Congress")</f>
        <v>Nepali Congress</v>
      </c>
      <c r="N153" s="1">
        <v>10759</v>
      </c>
      <c r="O153" s="1">
        <v>35.450000000000003</v>
      </c>
      <c r="P153" s="1" t="s">
        <v>416</v>
      </c>
      <c r="Q153" s="1" t="str">
        <f ca="1">IFERROR(__xludf.DUMMYFUNCTION("GOOGLETRANSLATE(P152,""ne"", ""en"")"),"Bhim Bahadur Rawal")</f>
        <v>Bhim Bahadur Rawal</v>
      </c>
      <c r="R153" s="1" t="s">
        <v>91</v>
      </c>
      <c r="S153" s="1" t="str">
        <f ca="1">IFERROR(__xludf.DUMMYFUNCTION("GOOGLETRANSLATE(R152, ""ne"", ""en"")"),"Nepali Communist Party")</f>
        <v>Nepali Communist Party</v>
      </c>
      <c r="T153" s="1">
        <v>10233</v>
      </c>
      <c r="U153" s="1">
        <v>33.72</v>
      </c>
      <c r="V153" s="1">
        <v>526</v>
      </c>
      <c r="W153" s="1">
        <v>1.73</v>
      </c>
      <c r="X153" s="1" t="b">
        <v>1</v>
      </c>
      <c r="Y153" s="1">
        <v>0</v>
      </c>
      <c r="Z153" s="1">
        <v>1</v>
      </c>
    </row>
    <row r="154" spans="1:26" x14ac:dyDescent="0.25">
      <c r="A154" s="1">
        <v>7</v>
      </c>
      <c r="B154" s="1" t="s">
        <v>410</v>
      </c>
      <c r="C154" s="1" t="str">
        <f ca="1">IFERROR(__xludf.DUMMYFUNCTION("GOOGLETRANSLATE(B153, ""ne"", ""en"")"),"Far Western Province")</f>
        <v>Far Western Province</v>
      </c>
      <c r="D154" s="1">
        <v>68</v>
      </c>
      <c r="E154" s="1" t="s">
        <v>414</v>
      </c>
      <c r="F154" s="1" t="str">
        <f ca="1">IFERROR(__xludf.DUMMYFUNCTION("GOOGLETRANSLATE(E153,""ne"", ""en"")"),"Achham")</f>
        <v>Achham</v>
      </c>
      <c r="G154" s="1">
        <v>2</v>
      </c>
      <c r="H154" s="1">
        <v>9</v>
      </c>
      <c r="I154" s="1">
        <v>30569</v>
      </c>
      <c r="J154" s="1" t="s">
        <v>417</v>
      </c>
      <c r="K154" s="1" t="str">
        <f ca="1">IFERROR(__xludf.DUMMYFUNCTION("GOOGLETRANSLATE(J153, ""ne"", ""en"")"),"Yagya Bahadur Bogti")</f>
        <v>Yagya Bahadur Bogti</v>
      </c>
      <c r="L154" s="1" t="s">
        <v>29</v>
      </c>
      <c r="M154" s="1" t="str">
        <f ca="1">IFERROR(__xludf.DUMMYFUNCTION("GOOGLETRANSLATE(L153, ""ne"", ""en"")"),"Communist Party of Nepal (Unified Marxist-Leninist)")</f>
        <v>Communist Party of Nepal (Unified Marxist-Leninist)</v>
      </c>
      <c r="N154" s="1">
        <v>9518</v>
      </c>
      <c r="O154" s="1">
        <v>31.14</v>
      </c>
      <c r="P154" s="1" t="s">
        <v>418</v>
      </c>
      <c r="Q154" s="1" t="str">
        <f ca="1">IFERROR(__xludf.DUMMYFUNCTION("GOOGLETRANSLATE(P153,""ne"", ""en"")"),"Pushpa Bahadur Shah")</f>
        <v>Pushpa Bahadur Shah</v>
      </c>
      <c r="R154" s="1" t="s">
        <v>31</v>
      </c>
      <c r="S154" s="1" t="str">
        <f ca="1">IFERROR(__xludf.DUMMYFUNCTION("GOOGLETRANSLATE(R153, ""ne"", ""en"")"),"Nepali Congress")</f>
        <v>Nepali Congress</v>
      </c>
      <c r="T154" s="1">
        <v>9046</v>
      </c>
      <c r="U154" s="1">
        <v>29.59</v>
      </c>
      <c r="V154" s="1">
        <v>472</v>
      </c>
      <c r="W154" s="1">
        <v>1.54</v>
      </c>
      <c r="X154" s="1" t="b">
        <v>1</v>
      </c>
      <c r="Y154" s="1">
        <v>0</v>
      </c>
      <c r="Z154" s="1">
        <v>0</v>
      </c>
    </row>
    <row r="155" spans="1:26" x14ac:dyDescent="0.25">
      <c r="A155" s="1">
        <v>7</v>
      </c>
      <c r="B155" s="1" t="s">
        <v>410</v>
      </c>
      <c r="C155" s="1" t="str">
        <f ca="1">IFERROR(__xludf.DUMMYFUNCTION("GOOGLETRANSLATE(B154, ""ne"", ""en"")"),"Far Western Province")</f>
        <v>Far Western Province</v>
      </c>
      <c r="D155" s="1">
        <v>69</v>
      </c>
      <c r="E155" s="1" t="s">
        <v>419</v>
      </c>
      <c r="F155" s="1" t="str">
        <f ca="1">IFERROR(__xludf.DUMMYFUNCTION("GOOGLETRANSLATE(E154,""ne"", ""en"")"),"Bajhang")</f>
        <v>Bajhang</v>
      </c>
      <c r="G155" s="1">
        <v>1</v>
      </c>
      <c r="H155" s="1">
        <v>7</v>
      </c>
      <c r="I155" s="1">
        <v>54833</v>
      </c>
      <c r="J155" s="1" t="s">
        <v>420</v>
      </c>
      <c r="K155" s="1" t="str">
        <f ca="1">IFERROR(__xludf.DUMMYFUNCTION("GOOGLETRANSLATE(J154, ""ne"", ""en"")"),"Ain Bahadur Mahar")</f>
        <v>Ain Bahadur Mahar</v>
      </c>
      <c r="L155" s="1" t="s">
        <v>29</v>
      </c>
      <c r="M155" s="1" t="str">
        <f ca="1">IFERROR(__xludf.DUMMYFUNCTION("GOOGLETRANSLATE(L154, ""ne"", ""en"")"),"Communist Party of Nepal (Unified Marxist-Leninist)")</f>
        <v>Communist Party of Nepal (Unified Marxist-Leninist)</v>
      </c>
      <c r="N155" s="1">
        <v>18543</v>
      </c>
      <c r="O155" s="1">
        <v>33.82</v>
      </c>
      <c r="P155" s="1" t="s">
        <v>421</v>
      </c>
      <c r="Q155" s="1" t="str">
        <f ca="1">IFERROR(__xludf.DUMMYFUNCTION("GOOGLETRANSLATE(P154,""ne"", ""en"")"),"Prakash Rasaili Snehi")</f>
        <v>Prakash Rasaili Snehi</v>
      </c>
      <c r="R155" s="1" t="s">
        <v>31</v>
      </c>
      <c r="S155" s="1" t="str">
        <f ca="1">IFERROR(__xludf.DUMMYFUNCTION("GOOGLETRANSLATE(R154, ""ne"", ""en"")"),"Nepali Congress")</f>
        <v>Nepali Congress</v>
      </c>
      <c r="T155" s="1">
        <v>16304</v>
      </c>
      <c r="U155" s="1">
        <v>29.73</v>
      </c>
      <c r="V155" s="1">
        <v>2239</v>
      </c>
      <c r="W155" s="1">
        <v>4.08</v>
      </c>
      <c r="X155" s="1" t="b">
        <v>0</v>
      </c>
      <c r="Y155" s="1">
        <v>0</v>
      </c>
      <c r="Z155" s="1">
        <v>0</v>
      </c>
    </row>
    <row r="156" spans="1:26" x14ac:dyDescent="0.25">
      <c r="A156" s="1">
        <v>7</v>
      </c>
      <c r="B156" s="1" t="s">
        <v>410</v>
      </c>
      <c r="C156" s="1" t="str">
        <f ca="1">IFERROR(__xludf.DUMMYFUNCTION("GOOGLETRANSLATE(B155, ""ne"", ""en"")"),"Far Western Province")</f>
        <v>Far Western Province</v>
      </c>
      <c r="D156" s="1">
        <v>70</v>
      </c>
      <c r="E156" s="1" t="s">
        <v>422</v>
      </c>
      <c r="F156" s="1" t="str">
        <f ca="1">IFERROR(__xludf.DUMMYFUNCTION("GOOGLETRANSLATE(E155,""ne"", ""en"")"),"Doti")</f>
        <v>Doti</v>
      </c>
      <c r="G156" s="1">
        <v>1</v>
      </c>
      <c r="H156" s="1">
        <v>9</v>
      </c>
      <c r="I156" s="1">
        <v>49168</v>
      </c>
      <c r="J156" s="1" t="s">
        <v>423</v>
      </c>
      <c r="K156" s="1" t="str">
        <f ca="1">IFERROR(__xludf.DUMMYFUNCTION("GOOGLETRANSLATE(J155, ""ne"", ""en"")"),"Bharat Bahadur Khadka")</f>
        <v>Bharat Bahadur Khadka</v>
      </c>
      <c r="L156" s="1" t="s">
        <v>31</v>
      </c>
      <c r="M156" s="1" t="str">
        <f ca="1">IFERROR(__xludf.DUMMYFUNCTION("GOOGLETRANSLATE(L155, ""ne"", ""en"")"),"Nepali Congress")</f>
        <v>Nepali Congress</v>
      </c>
      <c r="N156" s="1">
        <v>14897</v>
      </c>
      <c r="O156" s="1">
        <v>30.3</v>
      </c>
      <c r="P156" s="1" t="s">
        <v>424</v>
      </c>
      <c r="Q156" s="1" t="str">
        <f ca="1">IFERROR(__xludf.DUMMYFUNCTION("GOOGLETRANSLATE(P155,""ne"", ""en"")"),"Deepak Bahadur Dhami")</f>
        <v>Deepak Bahadur Dhami</v>
      </c>
      <c r="R156" s="1" t="s">
        <v>29</v>
      </c>
      <c r="S156" s="1" t="str">
        <f ca="1">IFERROR(__xludf.DUMMYFUNCTION("GOOGLETRANSLATE(R155, ""ne"", ""en"")"),"Communist Party of Nepal (Unified Marxist-Leninist)")</f>
        <v>Communist Party of Nepal (Unified Marxist-Leninist)</v>
      </c>
      <c r="T156" s="1">
        <v>14110</v>
      </c>
      <c r="U156" s="1">
        <v>28.7</v>
      </c>
      <c r="V156" s="1">
        <v>787</v>
      </c>
      <c r="W156" s="1">
        <v>1.6</v>
      </c>
      <c r="X156" s="1" t="b">
        <v>1</v>
      </c>
      <c r="Y156" s="1">
        <v>1</v>
      </c>
      <c r="Z156" s="1">
        <v>0</v>
      </c>
    </row>
    <row r="157" spans="1:26" x14ac:dyDescent="0.25">
      <c r="A157" s="1">
        <v>7</v>
      </c>
      <c r="B157" s="1" t="s">
        <v>410</v>
      </c>
      <c r="C157" s="1" t="str">
        <f ca="1">IFERROR(__xludf.DUMMYFUNCTION("GOOGLETRANSLATE(B156, ""ne"", ""en"")"),"Far Western Province")</f>
        <v>Far Western Province</v>
      </c>
      <c r="D157" s="1">
        <v>71</v>
      </c>
      <c r="E157" s="1" t="s">
        <v>425</v>
      </c>
      <c r="F157" s="1" t="str">
        <f ca="1">IFERROR(__xludf.DUMMYFUNCTION("GOOGLETRANSLATE(E156,""ne"", ""en"")"),"Kailali")</f>
        <v>Kailali</v>
      </c>
      <c r="G157" s="1">
        <v>1</v>
      </c>
      <c r="H157" s="1">
        <v>18</v>
      </c>
      <c r="I157" s="1">
        <v>54219</v>
      </c>
      <c r="J157" s="1" t="s">
        <v>426</v>
      </c>
      <c r="K157" s="1" t="str">
        <f ca="1">IFERROR(__xludf.DUMMYFUNCTION("GOOGLETRANSLATE(J156, ""ne"", ""en"")"),"Komal Gyawali")</f>
        <v>Komal Gyawali</v>
      </c>
      <c r="L157" s="1" t="s">
        <v>43</v>
      </c>
      <c r="M157" s="1" t="str">
        <f ca="1">IFERROR(__xludf.DUMMYFUNCTION("GOOGLETRANSLATE(L156, ""ne"", ""en"")"),"National Independence Party")</f>
        <v>National Independence Party</v>
      </c>
      <c r="N157" s="1">
        <v>17826</v>
      </c>
      <c r="O157" s="1">
        <v>32.880000000000003</v>
      </c>
      <c r="P157" s="1" t="s">
        <v>427</v>
      </c>
      <c r="Q157" s="1" t="str">
        <f ca="1">IFERROR(__xludf.DUMMYFUNCTION("GOOGLETRANSLATE(P156,""ne"", ""en"")"),"Janakraj Chaudhary")</f>
        <v>Janakraj Chaudhary</v>
      </c>
      <c r="R157" s="1" t="s">
        <v>31</v>
      </c>
      <c r="S157" s="1" t="str">
        <f ca="1">IFERROR(__xludf.DUMMYFUNCTION("GOOGLETRANSLATE(R156, ""ne"", ""en"")"),"Nepali Congress")</f>
        <v>Nepali Congress</v>
      </c>
      <c r="T157" s="1">
        <v>12867</v>
      </c>
      <c r="U157" s="1">
        <v>23.73</v>
      </c>
      <c r="V157" s="1">
        <v>4959</v>
      </c>
      <c r="W157" s="1">
        <v>9.15</v>
      </c>
      <c r="X157" s="1" t="b">
        <v>0</v>
      </c>
      <c r="Y157" s="1">
        <v>3</v>
      </c>
      <c r="Z157" s="1">
        <v>6</v>
      </c>
    </row>
    <row r="158" spans="1:26" x14ac:dyDescent="0.25">
      <c r="A158" s="1">
        <v>7</v>
      </c>
      <c r="B158" s="1" t="s">
        <v>410</v>
      </c>
      <c r="C158" s="1" t="str">
        <f ca="1">IFERROR(__xludf.DUMMYFUNCTION("GOOGLETRANSLATE(B157, ""ne"", ""en"")"),"Far Western Province")</f>
        <v>Far Western Province</v>
      </c>
      <c r="D158" s="1">
        <v>71</v>
      </c>
      <c r="E158" s="1" t="s">
        <v>425</v>
      </c>
      <c r="F158" s="1" t="str">
        <f ca="1">IFERROR(__xludf.DUMMYFUNCTION("GOOGLETRANSLATE(E157,""ne"", ""en"")"),"Kailali")</f>
        <v>Kailali</v>
      </c>
      <c r="G158" s="1">
        <v>2</v>
      </c>
      <c r="H158" s="1">
        <v>15</v>
      </c>
      <c r="I158" s="1">
        <v>52637</v>
      </c>
      <c r="J158" s="1" t="s">
        <v>428</v>
      </c>
      <c r="K158" s="1" t="str">
        <f ca="1">IFERROR(__xludf.DUMMYFUNCTION("GOOGLETRANSLATE(J157, ""ne"", ""en"")"),"K.P. Khanal")</f>
        <v>K.P. Khanal</v>
      </c>
      <c r="L158" s="1" t="s">
        <v>43</v>
      </c>
      <c r="M158" s="1" t="str">
        <f ca="1">IFERROR(__xludf.DUMMYFUNCTION("GOOGLETRANSLATE(L157, ""ne"", ""en"")"),"National Independence Party")</f>
        <v>National Independence Party</v>
      </c>
      <c r="N158" s="1">
        <v>19057</v>
      </c>
      <c r="O158" s="1">
        <v>36.200000000000003</v>
      </c>
      <c r="P158" s="1" t="s">
        <v>429</v>
      </c>
      <c r="Q158" s="1" t="str">
        <f ca="1">IFERROR(__xludf.DUMMYFUNCTION("GOOGLETRANSLATE(P157,""ne"", ""en"")"),"Husband Ram Chaudhary")</f>
        <v>Husband Ram Chaudhary</v>
      </c>
      <c r="R158" s="1" t="s">
        <v>430</v>
      </c>
      <c r="S158" s="1" t="str">
        <f ca="1">IFERROR(__xludf.DUMMYFUNCTION("GOOGLETRANSLATE(R157, ""ne"", ""en"")"),"Citizens' Liberation Party, Nepal (single election symbol)")</f>
        <v>Citizens' Liberation Party, Nepal (single election symbol)</v>
      </c>
      <c r="T158" s="1">
        <v>11949</v>
      </c>
      <c r="U158" s="1">
        <v>22.7</v>
      </c>
      <c r="V158" s="1">
        <v>7108</v>
      </c>
      <c r="W158" s="1">
        <v>13.5</v>
      </c>
      <c r="X158" s="1" t="b">
        <v>0</v>
      </c>
      <c r="Y158" s="1">
        <v>2</v>
      </c>
      <c r="Z158" s="1">
        <v>2</v>
      </c>
    </row>
    <row r="159" spans="1:26" x14ac:dyDescent="0.25">
      <c r="A159" s="1">
        <v>7</v>
      </c>
      <c r="B159" s="1" t="s">
        <v>410</v>
      </c>
      <c r="C159" s="1" t="str">
        <f ca="1">IFERROR(__xludf.DUMMYFUNCTION("GOOGLETRANSLATE(B158, ""ne"", ""en"")"),"Far Western Province")</f>
        <v>Far Western Province</v>
      </c>
      <c r="D159" s="1">
        <v>71</v>
      </c>
      <c r="E159" s="1" t="s">
        <v>425</v>
      </c>
      <c r="F159" s="1" t="str">
        <f ca="1">IFERROR(__xludf.DUMMYFUNCTION("GOOGLETRANSLATE(E158,""ne"", ""en"")"),"Kailali")</f>
        <v>Kailali</v>
      </c>
      <c r="G159" s="1">
        <v>3</v>
      </c>
      <c r="H159" s="1">
        <v>11</v>
      </c>
      <c r="I159" s="1">
        <v>56443</v>
      </c>
      <c r="J159" s="1" t="s">
        <v>431</v>
      </c>
      <c r="K159" s="1" t="str">
        <f ca="1">IFERROR(__xludf.DUMMYFUNCTION("GOOGLETRANSLATE(J158, ""ne"", ""en"")"),"Jagat Prasad Joshi")</f>
        <v>Jagat Prasad Joshi</v>
      </c>
      <c r="L159" s="1" t="s">
        <v>43</v>
      </c>
      <c r="M159" s="1" t="str">
        <f ca="1">IFERROR(__xludf.DUMMYFUNCTION("GOOGLETRANSLATE(L158, ""ne"", ""en"")"),"National Independence Party")</f>
        <v>National Independence Party</v>
      </c>
      <c r="N159" s="1">
        <v>20359</v>
      </c>
      <c r="O159" s="1">
        <v>36.07</v>
      </c>
      <c r="P159" s="1" t="s">
        <v>432</v>
      </c>
      <c r="Q159" s="1" t="str">
        <f ca="1">IFERROR(__xludf.DUMMYFUNCTION("GOOGLETRANSLATE(P158,""ne"", ""en"")"),"Virman Chaudhary")</f>
        <v>Virman Chaudhary</v>
      </c>
      <c r="R159" s="1" t="s">
        <v>91</v>
      </c>
      <c r="S159" s="1" t="str">
        <f ca="1">IFERROR(__xludf.DUMMYFUNCTION("GOOGLETRANSLATE(R158, ""ne"", ""en"")"),"Nepali Communist Party")</f>
        <v>Nepali Communist Party</v>
      </c>
      <c r="T159" s="1">
        <v>11983</v>
      </c>
      <c r="U159" s="1">
        <v>21.23</v>
      </c>
      <c r="V159" s="1">
        <v>8376</v>
      </c>
      <c r="W159" s="1">
        <v>14.84</v>
      </c>
      <c r="X159" s="1" t="b">
        <v>0</v>
      </c>
      <c r="Y159" s="1">
        <v>2</v>
      </c>
      <c r="Z159" s="1">
        <v>0</v>
      </c>
    </row>
    <row r="160" spans="1:26" x14ac:dyDescent="0.25">
      <c r="A160" s="1">
        <v>7</v>
      </c>
      <c r="B160" s="1" t="s">
        <v>410</v>
      </c>
      <c r="C160" s="1" t="str">
        <f ca="1">IFERROR(__xludf.DUMMYFUNCTION("GOOGLETRANSLATE(B159, ""ne"", ""en"")"),"Far Western Province")</f>
        <v>Far Western Province</v>
      </c>
      <c r="D160" s="1">
        <v>71</v>
      </c>
      <c r="E160" s="1" t="s">
        <v>425</v>
      </c>
      <c r="F160" s="1" t="str">
        <f ca="1">IFERROR(__xludf.DUMMYFUNCTION("GOOGLETRANSLATE(E159,""ne"", ""en"")"),"Kailali")</f>
        <v>Kailali</v>
      </c>
      <c r="G160" s="1">
        <v>4</v>
      </c>
      <c r="H160" s="1">
        <v>16</v>
      </c>
      <c r="I160" s="1">
        <v>58283</v>
      </c>
      <c r="J160" s="1" t="s">
        <v>433</v>
      </c>
      <c r="K160" s="1" t="str">
        <f ca="1">IFERROR(__xludf.DUMMYFUNCTION("GOOGLETRANSLATE(J159, ""ne"", ""en"")"),"Khem Raj Koirala")</f>
        <v>Khem Raj Koirala</v>
      </c>
      <c r="L160" s="1" t="s">
        <v>43</v>
      </c>
      <c r="M160" s="1" t="str">
        <f ca="1">IFERROR(__xludf.DUMMYFUNCTION("GOOGLETRANSLATE(L159, ""ne"", ""en"")"),"National Independence Party")</f>
        <v>National Independence Party</v>
      </c>
      <c r="N160" s="1">
        <v>28556</v>
      </c>
      <c r="O160" s="1">
        <v>49</v>
      </c>
      <c r="P160" s="1" t="s">
        <v>434</v>
      </c>
      <c r="Q160" s="1" t="str">
        <f ca="1">IFERROR(__xludf.DUMMYFUNCTION("GOOGLETRANSLATE(P159,""ne"", ""en"")"),"Gorakh Bahadur Bista")</f>
        <v>Gorakh Bahadur Bista</v>
      </c>
      <c r="R160" s="1" t="s">
        <v>31</v>
      </c>
      <c r="S160" s="1" t="str">
        <f ca="1">IFERROR(__xludf.DUMMYFUNCTION("GOOGLETRANSLATE(R159, ""ne"", ""en"")"),"Nepali Congress")</f>
        <v>Nepali Congress</v>
      </c>
      <c r="T160" s="1">
        <v>11301</v>
      </c>
      <c r="U160" s="1">
        <v>19.39</v>
      </c>
      <c r="V160" s="1">
        <v>17255</v>
      </c>
      <c r="W160" s="1">
        <v>29.61</v>
      </c>
      <c r="X160" s="1" t="b">
        <v>0</v>
      </c>
      <c r="Y160" s="1">
        <v>1</v>
      </c>
      <c r="Z160" s="1">
        <v>1</v>
      </c>
    </row>
    <row r="161" spans="1:26" x14ac:dyDescent="0.25">
      <c r="A161" s="1">
        <v>7</v>
      </c>
      <c r="B161" s="1" t="s">
        <v>410</v>
      </c>
      <c r="C161" s="1" t="str">
        <f ca="1">IFERROR(__xludf.DUMMYFUNCTION("GOOGLETRANSLATE(B160, ""ne"", ""en"")"),"Far Western Province")</f>
        <v>Far Western Province</v>
      </c>
      <c r="D161" s="1">
        <v>71</v>
      </c>
      <c r="E161" s="1" t="s">
        <v>425</v>
      </c>
      <c r="F161" s="1" t="str">
        <f ca="1">IFERROR(__xludf.DUMMYFUNCTION("GOOGLETRANSLATE(E160,""ne"", ""en"")"),"Kailali")</f>
        <v>Kailali</v>
      </c>
      <c r="G161" s="1">
        <v>5</v>
      </c>
      <c r="H161" s="1">
        <v>15</v>
      </c>
      <c r="I161" s="1">
        <v>62147</v>
      </c>
      <c r="J161" s="1" t="s">
        <v>435</v>
      </c>
      <c r="K161" s="1" t="str">
        <f ca="1">IFERROR(__xludf.DUMMYFUNCTION("GOOGLETRANSLATE(J160, ""ne"", ""en"")"),"Anand Bahadur Chand")</f>
        <v>Anand Bahadur Chand</v>
      </c>
      <c r="L161" s="1" t="s">
        <v>43</v>
      </c>
      <c r="M161" s="1" t="str">
        <f ca="1">IFERROR(__xludf.DUMMYFUNCTION("GOOGLETRANSLATE(L160, ""ne"", ""en"")"),"National Independence Party")</f>
        <v>National Independence Party</v>
      </c>
      <c r="N161" s="1">
        <v>31953</v>
      </c>
      <c r="O161" s="1">
        <v>51.42</v>
      </c>
      <c r="P161" s="1" t="s">
        <v>436</v>
      </c>
      <c r="Q161" s="1" t="str">
        <f ca="1">IFERROR(__xludf.DUMMYFUNCTION("GOOGLETRANSLATE(P160,""ne"", ""en"")"),"Nar Narayan Shah")</f>
        <v>Nar Narayan Shah</v>
      </c>
      <c r="R161" s="1" t="s">
        <v>31</v>
      </c>
      <c r="S161" s="1" t="str">
        <f ca="1">IFERROR(__xludf.DUMMYFUNCTION("GOOGLETRANSLATE(R160, ""ne"", ""en"")"),"Nepali Congress")</f>
        <v>Nepali Congress</v>
      </c>
      <c r="T161" s="1">
        <v>11958</v>
      </c>
      <c r="U161" s="1">
        <v>19.239999999999998</v>
      </c>
      <c r="V161" s="1">
        <v>19995</v>
      </c>
      <c r="W161" s="1">
        <v>32.17</v>
      </c>
      <c r="X161" s="1" t="b">
        <v>0</v>
      </c>
      <c r="Y161" s="1">
        <v>3</v>
      </c>
      <c r="Z161" s="1">
        <v>2</v>
      </c>
    </row>
    <row r="162" spans="1:26" x14ac:dyDescent="0.25">
      <c r="A162" s="1">
        <v>7</v>
      </c>
      <c r="B162" s="1" t="s">
        <v>410</v>
      </c>
      <c r="C162" s="1" t="str">
        <f ca="1">IFERROR(__xludf.DUMMYFUNCTION("GOOGLETRANSLATE(B161, ""ne"", ""en"")"),"Far Western Province")</f>
        <v>Far Western Province</v>
      </c>
      <c r="D162" s="1">
        <v>72</v>
      </c>
      <c r="E162" s="1" t="s">
        <v>437</v>
      </c>
      <c r="F162" s="1" t="str">
        <f ca="1">IFERROR(__xludf.DUMMYFUNCTION("GOOGLETRANSLATE(E161,""ne"", ""en"")"),"Darchula")</f>
        <v>Darchula</v>
      </c>
      <c r="G162" s="1">
        <v>1</v>
      </c>
      <c r="H162" s="1">
        <v>11</v>
      </c>
      <c r="I162" s="1">
        <v>47890</v>
      </c>
      <c r="J162" s="1" t="s">
        <v>438</v>
      </c>
      <c r="K162" s="1" t="str">
        <f ca="1">IFERROR(__xludf.DUMMYFUNCTION("GOOGLETRANSLATE(J161, ""ne"", ""en"")"),"Ganesh Singh Thagunna")</f>
        <v>Ganesh Singh Thagunna</v>
      </c>
      <c r="L162" s="1" t="s">
        <v>29</v>
      </c>
      <c r="M162" s="1" t="str">
        <f ca="1">IFERROR(__xludf.DUMMYFUNCTION("GOOGLETRANSLATE(L161, ""ne"", ""en"")"),"Communist Party of Nepal (Unified Marxist-Leninist)")</f>
        <v>Communist Party of Nepal (Unified Marxist-Leninist)</v>
      </c>
      <c r="N162" s="1">
        <v>18891</v>
      </c>
      <c r="O162" s="1">
        <v>39.450000000000003</v>
      </c>
      <c r="P162" s="1" t="s">
        <v>439</v>
      </c>
      <c r="Q162" s="1" t="str">
        <f ca="1">IFERROR(__xludf.DUMMYFUNCTION("GOOGLETRANSLATE(P161,""ne"", ""en"")"),"Dharmananda Joshi")</f>
        <v>Dharmananda Joshi</v>
      </c>
      <c r="R162" s="1" t="s">
        <v>31</v>
      </c>
      <c r="S162" s="1" t="str">
        <f ca="1">IFERROR(__xludf.DUMMYFUNCTION("GOOGLETRANSLATE(R161, ""ne"", ""en"")"),"Nepali Congress")</f>
        <v>Nepali Congress</v>
      </c>
      <c r="T162" s="1">
        <v>15836</v>
      </c>
      <c r="U162" s="1">
        <v>33.07</v>
      </c>
      <c r="V162" s="1">
        <v>3055</v>
      </c>
      <c r="W162" s="1">
        <v>6.38</v>
      </c>
      <c r="X162" s="1" t="b">
        <v>0</v>
      </c>
      <c r="Y162" s="1">
        <v>0</v>
      </c>
      <c r="Z162" s="1">
        <v>0</v>
      </c>
    </row>
    <row r="163" spans="1:26" x14ac:dyDescent="0.25">
      <c r="A163" s="1">
        <v>7</v>
      </c>
      <c r="B163" s="1" t="s">
        <v>410</v>
      </c>
      <c r="C163" s="1" t="str">
        <f ca="1">IFERROR(__xludf.DUMMYFUNCTION("GOOGLETRANSLATE(B162, ""ne"", ""en"")"),"Far Western Province")</f>
        <v>Far Western Province</v>
      </c>
      <c r="D163" s="1">
        <v>73</v>
      </c>
      <c r="E163" s="1" t="s">
        <v>440</v>
      </c>
      <c r="F163" s="1" t="str">
        <f ca="1">IFERROR(__xludf.DUMMYFUNCTION("GOOGLETRANSLATE(E162,""ne"", ""en"")"),"Baitadi")</f>
        <v>Baitadi</v>
      </c>
      <c r="G163" s="1">
        <v>1</v>
      </c>
      <c r="H163" s="1">
        <v>11</v>
      </c>
      <c r="I163" s="1">
        <v>67730</v>
      </c>
      <c r="J163" s="1" t="s">
        <v>441</v>
      </c>
      <c r="K163" s="1" t="str">
        <f ca="1">IFERROR(__xludf.DUMMYFUNCTION("GOOGLETRANSLATE(J162, ""ne"", ""en"")"),"Hari Mohan Bhandari")</f>
        <v>Hari Mohan Bhandari</v>
      </c>
      <c r="L163" s="1" t="s">
        <v>43</v>
      </c>
      <c r="M163" s="1" t="str">
        <f ca="1">IFERROR(__xludf.DUMMYFUNCTION("GOOGLETRANSLATE(L162, ""ne"", ""en"")"),"National Independence Party")</f>
        <v>National Independence Party</v>
      </c>
      <c r="N163" s="1">
        <v>22134</v>
      </c>
      <c r="O163" s="1">
        <v>32.68</v>
      </c>
      <c r="P163" s="1" t="s">
        <v>442</v>
      </c>
      <c r="Q163" s="1" t="str">
        <f ca="1">IFERROR(__xludf.DUMMYFUNCTION("GOOGLETRANSLATE(P162,""ne"", ""en"")"),"Chatur Bahadur Chand")</f>
        <v>Chatur Bahadur Chand</v>
      </c>
      <c r="R163" s="1" t="s">
        <v>31</v>
      </c>
      <c r="S163" s="1" t="str">
        <f ca="1">IFERROR(__xludf.DUMMYFUNCTION("GOOGLETRANSLATE(R162, ""ne"", ""en"")"),"Nepali Congress")</f>
        <v>Nepali Congress</v>
      </c>
      <c r="T163" s="1">
        <v>18194</v>
      </c>
      <c r="U163" s="1">
        <v>26.86</v>
      </c>
      <c r="V163" s="1">
        <v>3940</v>
      </c>
      <c r="W163" s="1">
        <v>5.82</v>
      </c>
      <c r="X163" s="1" t="b">
        <v>0</v>
      </c>
      <c r="Y163" s="1">
        <v>0</v>
      </c>
      <c r="Z163" s="1">
        <v>1</v>
      </c>
    </row>
    <row r="164" spans="1:26" x14ac:dyDescent="0.25">
      <c r="A164" s="1">
        <v>7</v>
      </c>
      <c r="B164" s="1" t="s">
        <v>410</v>
      </c>
      <c r="C164" s="1" t="str">
        <f ca="1">IFERROR(__xludf.DUMMYFUNCTION("GOOGLETRANSLATE(B163, ""ne"", ""en"")"),"Far Western Province")</f>
        <v>Far Western Province</v>
      </c>
      <c r="D164" s="1">
        <v>74</v>
      </c>
      <c r="E164" s="1" t="s">
        <v>443</v>
      </c>
      <c r="F164" s="1" t="str">
        <f ca="1">IFERROR(__xludf.DUMMYFUNCTION("GOOGLETRANSLATE(E163,""ne"", ""en"")"),"Dadeldhura")</f>
        <v>Dadeldhura</v>
      </c>
      <c r="G164" s="1">
        <v>1</v>
      </c>
      <c r="H164" s="1">
        <v>13</v>
      </c>
      <c r="I164" s="1">
        <v>43067</v>
      </c>
      <c r="J164" s="1" t="s">
        <v>444</v>
      </c>
      <c r="K164" s="1" t="str">
        <f ca="1">IFERROR(__xludf.DUMMYFUNCTION("GOOGLETRANSLATE(J163, ""ne"", ""en"")"),"Tara Prasad Joshi")</f>
        <v>Tara Prasad Joshi</v>
      </c>
      <c r="L164" s="1" t="s">
        <v>43</v>
      </c>
      <c r="M164" s="1" t="str">
        <f ca="1">IFERROR(__xludf.DUMMYFUNCTION("GOOGLETRANSLATE(L163, ""ne"", ""en"")"),"National Independence Party")</f>
        <v>National Independence Party</v>
      </c>
      <c r="N164" s="1">
        <v>19131</v>
      </c>
      <c r="O164" s="1">
        <v>44.42</v>
      </c>
      <c r="P164" s="1" t="s">
        <v>445</v>
      </c>
      <c r="Q164" s="1" t="str">
        <f ca="1">IFERROR(__xludf.DUMMYFUNCTION("GOOGLETRANSLATE(P163,""ne"", ""en"")"),"Nain Singh Mahar")</f>
        <v>Nain Singh Mahar</v>
      </c>
      <c r="R164" s="1" t="s">
        <v>31</v>
      </c>
      <c r="S164" s="1" t="str">
        <f ca="1">IFERROR(__xludf.DUMMYFUNCTION("GOOGLETRANSLATE(R163, ""ne"", ""en"")"),"Nepali Congress")</f>
        <v>Nepali Congress</v>
      </c>
      <c r="T164" s="1">
        <v>12121</v>
      </c>
      <c r="U164" s="1">
        <v>28.14</v>
      </c>
      <c r="V164" s="1">
        <v>7010</v>
      </c>
      <c r="W164" s="1">
        <v>16.28</v>
      </c>
      <c r="X164" s="1" t="b">
        <v>0</v>
      </c>
      <c r="Y164" s="1">
        <v>0</v>
      </c>
      <c r="Z164" s="1">
        <v>3</v>
      </c>
    </row>
    <row r="165" spans="1:26" x14ac:dyDescent="0.25">
      <c r="A165" s="1">
        <v>7</v>
      </c>
      <c r="B165" s="1" t="s">
        <v>410</v>
      </c>
      <c r="C165" s="1" t="str">
        <f ca="1">IFERROR(__xludf.DUMMYFUNCTION("GOOGLETRANSLATE(B164, ""ne"", ""en"")"),"Far Western Province")</f>
        <v>Far Western Province</v>
      </c>
      <c r="D165" s="1">
        <v>75</v>
      </c>
      <c r="E165" s="1" t="s">
        <v>446</v>
      </c>
      <c r="F165" s="1" t="str">
        <f ca="1">IFERROR(__xludf.DUMMYFUNCTION("GOOGLETRANSLATE(E164,""ne"", ""en"")"),"Kanchanpur")</f>
        <v>Kanchanpur</v>
      </c>
      <c r="G165" s="1">
        <v>1</v>
      </c>
      <c r="H165" s="1">
        <v>19</v>
      </c>
      <c r="I165" s="1">
        <v>57051</v>
      </c>
      <c r="J165" s="1" t="s">
        <v>447</v>
      </c>
      <c r="K165" s="1" t="str">
        <f ca="1">IFERROR(__xludf.DUMMYFUNCTION("GOOGLETRANSLATE(J164, ""ne"", ""en"")"),"Janak Singh Dhami")</f>
        <v>Janak Singh Dhami</v>
      </c>
      <c r="L165" s="1" t="s">
        <v>43</v>
      </c>
      <c r="M165" s="1" t="str">
        <f ca="1">IFERROR(__xludf.DUMMYFUNCTION("GOOGLETRANSLATE(L164, ""ne"", ""en"")"),"National Independence Party")</f>
        <v>National Independence Party</v>
      </c>
      <c r="N165" s="1">
        <v>24332</v>
      </c>
      <c r="O165" s="1">
        <v>42.65</v>
      </c>
      <c r="P165" s="1" t="s">
        <v>448</v>
      </c>
      <c r="Q165" s="1" t="str">
        <f ca="1">IFERROR(__xludf.DUMMYFUNCTION("GOOGLETRANSLATE(P164,""ne"", ""en"")"),"Bina Magar")</f>
        <v>Bina Magar</v>
      </c>
      <c r="R165" s="1" t="s">
        <v>91</v>
      </c>
      <c r="S165" s="1" t="str">
        <f ca="1">IFERROR(__xludf.DUMMYFUNCTION("GOOGLETRANSLATE(R164, ""ne"", ""en"")"),"Nepali Communist Party")</f>
        <v>Nepali Communist Party</v>
      </c>
      <c r="T165" s="1">
        <v>11110</v>
      </c>
      <c r="U165" s="1">
        <v>19.47</v>
      </c>
      <c r="V165" s="1">
        <v>13222</v>
      </c>
      <c r="W165" s="1">
        <v>23.18</v>
      </c>
      <c r="X165" s="1" t="b">
        <v>0</v>
      </c>
      <c r="Y165" s="1">
        <v>4</v>
      </c>
      <c r="Z165" s="1">
        <v>4</v>
      </c>
    </row>
    <row r="166" spans="1:26" x14ac:dyDescent="0.25">
      <c r="A166" s="1">
        <v>7</v>
      </c>
      <c r="B166" s="1" t="s">
        <v>410</v>
      </c>
      <c r="C166" s="1" t="str">
        <f ca="1">IFERROR(__xludf.DUMMYFUNCTION("GOOGLETRANSLATE(B165, ""ne"", ""en"")"),"Far Western Province")</f>
        <v>Far Western Province</v>
      </c>
      <c r="D166" s="1">
        <v>75</v>
      </c>
      <c r="E166" s="1" t="s">
        <v>446</v>
      </c>
      <c r="F166" s="1" t="str">
        <f ca="1">IFERROR(__xludf.DUMMYFUNCTION("GOOGLETRANSLATE(E165,""ne"", ""en"")"),"Kanchanpur")</f>
        <v>Kanchanpur</v>
      </c>
      <c r="G166" s="1">
        <v>2</v>
      </c>
      <c r="H166" s="1">
        <v>19</v>
      </c>
      <c r="I166" s="1">
        <v>61117</v>
      </c>
      <c r="J166" s="1" t="s">
        <v>449</v>
      </c>
      <c r="K166" s="1" t="str">
        <f ca="1">IFERROR(__xludf.DUMMYFUNCTION("GOOGLETRANSLATE(J165, ""ne"", ""en"")"),"Deepak Raj Bohra")</f>
        <v>Deepak Raj Bohra</v>
      </c>
      <c r="L166" s="1" t="s">
        <v>43</v>
      </c>
      <c r="M166" s="1" t="str">
        <f ca="1">IFERROR(__xludf.DUMMYFUNCTION("GOOGLETRANSLATE(L165, ""ne"", ""en"")"),"National Independence Party")</f>
        <v>National Independence Party</v>
      </c>
      <c r="N166" s="1">
        <v>33952</v>
      </c>
      <c r="O166" s="1">
        <v>55.55</v>
      </c>
      <c r="P166" s="1" t="s">
        <v>450</v>
      </c>
      <c r="Q166" s="1" t="str">
        <f ca="1">IFERROR(__xludf.DUMMYFUNCTION("GOOGLETRANSLATE(P165,""ne"", ""en"")"),"Narayan Prakash Saud")</f>
        <v>Narayan Prakash Saud</v>
      </c>
      <c r="R166" s="1" t="s">
        <v>31</v>
      </c>
      <c r="S166" s="1" t="str">
        <f ca="1">IFERROR(__xludf.DUMMYFUNCTION("GOOGLETRANSLATE(R165, ""ne"", ""en"")"),"Nepali Congress")</f>
        <v>Nepali Congress</v>
      </c>
      <c r="T166" s="1">
        <v>10827</v>
      </c>
      <c r="U166" s="1">
        <v>17.72</v>
      </c>
      <c r="V166" s="1">
        <v>23125</v>
      </c>
      <c r="W166" s="1">
        <v>37.840000000000003</v>
      </c>
      <c r="X166" s="1" t="b">
        <v>0</v>
      </c>
      <c r="Y166" s="1">
        <v>1</v>
      </c>
      <c r="Z166" s="1">
        <v>4</v>
      </c>
    </row>
    <row r="167" spans="1:26" ht="15.75" customHeight="1" x14ac:dyDescent="0.25">
      <c r="A167" s="1">
        <v>7</v>
      </c>
      <c r="B167" s="1" t="s">
        <v>410</v>
      </c>
      <c r="C167" s="1" t="str">
        <f ca="1">IFERROR(__xludf.DUMMYFUNCTION("GOOGLETRANSLATE(B166, ""ne"", ""en"")"),"Far Western Province")</f>
        <v>Far Western Province</v>
      </c>
      <c r="D167" s="1">
        <v>75</v>
      </c>
      <c r="E167" s="1" t="s">
        <v>446</v>
      </c>
      <c r="F167" s="1" t="str">
        <f ca="1">IFERROR(__xludf.DUMMYFUNCTION("GOOGLETRANSLATE(E166,""ne"", ""en"")"),"Kanchanpur")</f>
        <v>Kanchanpur</v>
      </c>
      <c r="G167" s="1">
        <v>3</v>
      </c>
      <c r="H167" s="1">
        <v>17</v>
      </c>
      <c r="I167" s="1">
        <v>53546</v>
      </c>
      <c r="J167" s="1" t="s">
        <v>451</v>
      </c>
      <c r="K167" s="1" t="str">
        <f ca="1">IFERROR(__xludf.DUMMYFUNCTION("GOOGLETRANSLATE(J166, ""ne"", ""en"")"),"Gyanendra Singh Mahata")</f>
        <v>Gyanendra Singh Mahata</v>
      </c>
      <c r="L167" s="1" t="s">
        <v>43</v>
      </c>
      <c r="M167" s="1" t="str">
        <f ca="1">IFERROR(__xludf.DUMMYFUNCTION("GOOGLETRANSLATE(L166, ""ne"", ""en"")"),"National Independence Party")</f>
        <v>National Independence Party</v>
      </c>
      <c r="N167" s="1">
        <v>27118</v>
      </c>
      <c r="O167" s="1">
        <v>50.64</v>
      </c>
      <c r="P167" s="1" t="s">
        <v>452</v>
      </c>
      <c r="Q167" s="1" t="str">
        <f ca="1">IFERROR(__xludf.DUMMYFUNCTION("GOOGLETRANSLATE(P166,""ne"", ""en"")"),"Hari Prasad Bohra")</f>
        <v>Hari Prasad Bohra</v>
      </c>
      <c r="R167" s="1" t="s">
        <v>31</v>
      </c>
      <c r="S167" s="1" t="str">
        <f ca="1">IFERROR(__xludf.DUMMYFUNCTION("GOOGLETRANSLATE(R166, ""ne"", ""en"")"),"Nepali Congress")</f>
        <v>Nepali Congress</v>
      </c>
      <c r="T167" s="1">
        <v>9443</v>
      </c>
      <c r="U167" s="1">
        <v>17.64</v>
      </c>
      <c r="V167" s="1">
        <v>17675</v>
      </c>
      <c r="W167" s="1">
        <v>33.01</v>
      </c>
      <c r="X167" s="1" t="b">
        <v>0</v>
      </c>
      <c r="Y167" s="1">
        <v>1</v>
      </c>
      <c r="Z167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constituency_results.csv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Sushmita Gautam</cp:lastModifiedBy>
  <dcterms:modified xsi:type="dcterms:W3CDTF">2026-04-14T12:29:10Z</dcterms:modified>
</cp:coreProperties>
</file>