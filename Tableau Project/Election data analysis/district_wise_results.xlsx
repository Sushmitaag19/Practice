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analyst\Tableau Project\Election data analysis\"/>
    </mc:Choice>
  </mc:AlternateContent>
  <bookViews>
    <workbookView xWindow="0" yWindow="0" windowWidth="23040" windowHeight="9072"/>
  </bookViews>
  <sheets>
    <sheet name="district_wise_results.csv" sheetId="1" r:id="rId1"/>
  </sheets>
  <calcPr calcId="162913"/>
</workbook>
</file>

<file path=xl/calcChain.xml><?xml version="1.0" encoding="utf-8"?>
<calcChain xmlns="http://schemas.openxmlformats.org/spreadsheetml/2006/main">
  <c r="K78" i="1" l="1"/>
  <c r="C76" i="1"/>
  <c r="F73" i="1"/>
  <c r="K70" i="1"/>
  <c r="C68" i="1"/>
  <c r="F65" i="1"/>
  <c r="K62" i="1"/>
  <c r="C60" i="1"/>
  <c r="F57" i="1"/>
  <c r="K54" i="1"/>
  <c r="C52" i="1"/>
  <c r="F49" i="1"/>
  <c r="K46" i="1"/>
  <c r="C44" i="1"/>
  <c r="F41" i="1"/>
  <c r="K38" i="1"/>
  <c r="C36" i="1"/>
  <c r="F33" i="1"/>
  <c r="K30" i="1"/>
  <c r="C28" i="1"/>
  <c r="F25" i="1"/>
  <c r="K22" i="1"/>
  <c r="C20" i="1"/>
  <c r="F17" i="1"/>
  <c r="K14" i="1"/>
  <c r="C12" i="1"/>
  <c r="F9" i="1"/>
  <c r="K6" i="1"/>
  <c r="C4" i="1"/>
  <c r="F6" i="1"/>
  <c r="F75" i="1"/>
  <c r="K64" i="1"/>
  <c r="F59" i="1"/>
  <c r="C54" i="1"/>
  <c r="K48" i="1"/>
  <c r="F43" i="1"/>
  <c r="C38" i="1"/>
  <c r="K32" i="1"/>
  <c r="F27" i="1"/>
  <c r="C22" i="1"/>
  <c r="K16" i="1"/>
  <c r="F11" i="1"/>
  <c r="C6" i="1"/>
  <c r="F3" i="1"/>
  <c r="K57" i="1"/>
  <c r="K41" i="1"/>
  <c r="K25" i="1"/>
  <c r="K9" i="1"/>
  <c r="F78" i="1"/>
  <c r="K75" i="1"/>
  <c r="C73" i="1"/>
  <c r="F70" i="1"/>
  <c r="K67" i="1"/>
  <c r="C65" i="1"/>
  <c r="F62" i="1"/>
  <c r="K59" i="1"/>
  <c r="C57" i="1"/>
  <c r="F54" i="1"/>
  <c r="K51" i="1"/>
  <c r="C49" i="1"/>
  <c r="F46" i="1"/>
  <c r="K43" i="1"/>
  <c r="C41" i="1"/>
  <c r="F38" i="1"/>
  <c r="K35" i="1"/>
  <c r="C33" i="1"/>
  <c r="F30" i="1"/>
  <c r="K27" i="1"/>
  <c r="C25" i="1"/>
  <c r="F22" i="1"/>
  <c r="K19" i="1"/>
  <c r="C17" i="1"/>
  <c r="F14" i="1"/>
  <c r="K11" i="1"/>
  <c r="C9" i="1"/>
  <c r="K3" i="1"/>
  <c r="K72" i="1"/>
  <c r="C70" i="1"/>
  <c r="F67" i="1"/>
  <c r="C62" i="1"/>
  <c r="K56" i="1"/>
  <c r="F51" i="1"/>
  <c r="C46" i="1"/>
  <c r="K40" i="1"/>
  <c r="F35" i="1"/>
  <c r="C30" i="1"/>
  <c r="K24" i="1"/>
  <c r="F19" i="1"/>
  <c r="C14" i="1"/>
  <c r="K8" i="1"/>
  <c r="C63" i="1"/>
  <c r="C47" i="1"/>
  <c r="C31" i="1"/>
  <c r="C15" i="1"/>
  <c r="C78" i="1"/>
  <c r="K77" i="1"/>
  <c r="C75" i="1"/>
  <c r="F72" i="1"/>
  <c r="K69" i="1"/>
  <c r="C67" i="1"/>
  <c r="F64" i="1"/>
  <c r="K61" i="1"/>
  <c r="C59" i="1"/>
  <c r="F56" i="1"/>
  <c r="K53" i="1"/>
  <c r="C51" i="1"/>
  <c r="F48" i="1"/>
  <c r="K45" i="1"/>
  <c r="C43" i="1"/>
  <c r="F40" i="1"/>
  <c r="K37" i="1"/>
  <c r="C35" i="1"/>
  <c r="F32" i="1"/>
  <c r="K29" i="1"/>
  <c r="C27" i="1"/>
  <c r="F24" i="1"/>
  <c r="K21" i="1"/>
  <c r="C19" i="1"/>
  <c r="F16" i="1"/>
  <c r="K13" i="1"/>
  <c r="C11" i="1"/>
  <c r="F8" i="1"/>
  <c r="K5" i="1"/>
  <c r="C3" i="1"/>
  <c r="K68" i="1"/>
  <c r="C66" i="1"/>
  <c r="C58" i="1"/>
  <c r="C50" i="1"/>
  <c r="C42" i="1"/>
  <c r="K36" i="1"/>
  <c r="K28" i="1"/>
  <c r="F23" i="1"/>
  <c r="C18" i="1"/>
  <c r="C10" i="1"/>
  <c r="F76" i="1"/>
  <c r="F68" i="1"/>
  <c r="K65" i="1"/>
  <c r="F60" i="1"/>
  <c r="C55" i="1"/>
  <c r="F44" i="1"/>
  <c r="C39" i="1"/>
  <c r="F28" i="1"/>
  <c r="K17" i="1"/>
  <c r="C7" i="1"/>
  <c r="F77" i="1"/>
  <c r="K74" i="1"/>
  <c r="C72" i="1"/>
  <c r="F69" i="1"/>
  <c r="K66" i="1"/>
  <c r="C64" i="1"/>
  <c r="F61" i="1"/>
  <c r="K58" i="1"/>
  <c r="C56" i="1"/>
  <c r="F53" i="1"/>
  <c r="K50" i="1"/>
  <c r="C48" i="1"/>
  <c r="F45" i="1"/>
  <c r="K42" i="1"/>
  <c r="C40" i="1"/>
  <c r="F37" i="1"/>
  <c r="K34" i="1"/>
  <c r="C32" i="1"/>
  <c r="F29" i="1"/>
  <c r="K26" i="1"/>
  <c r="C24" i="1"/>
  <c r="F21" i="1"/>
  <c r="K18" i="1"/>
  <c r="C16" i="1"/>
  <c r="F13" i="1"/>
  <c r="K10" i="1"/>
  <c r="C8" i="1"/>
  <c r="F5" i="1"/>
  <c r="K2" i="1"/>
  <c r="F71" i="1"/>
  <c r="K60" i="1"/>
  <c r="K52" i="1"/>
  <c r="F47" i="1"/>
  <c r="F39" i="1"/>
  <c r="F31" i="1"/>
  <c r="F15" i="1"/>
  <c r="K4" i="1"/>
  <c r="C71" i="1"/>
  <c r="F52" i="1"/>
  <c r="F36" i="1"/>
  <c r="C23" i="1"/>
  <c r="F12" i="1"/>
  <c r="C77" i="1"/>
  <c r="F74" i="1"/>
  <c r="K71" i="1"/>
  <c r="C69" i="1"/>
  <c r="F66" i="1"/>
  <c r="K63" i="1"/>
  <c r="C61" i="1"/>
  <c r="F58" i="1"/>
  <c r="K55" i="1"/>
  <c r="C53" i="1"/>
  <c r="F50" i="1"/>
  <c r="K47" i="1"/>
  <c r="C45" i="1"/>
  <c r="F42" i="1"/>
  <c r="K39" i="1"/>
  <c r="C37" i="1"/>
  <c r="F34" i="1"/>
  <c r="K31" i="1"/>
  <c r="C29" i="1"/>
  <c r="F26" i="1"/>
  <c r="K23" i="1"/>
  <c r="C21" i="1"/>
  <c r="F18" i="1"/>
  <c r="K15" i="1"/>
  <c r="C13" i="1"/>
  <c r="F10" i="1"/>
  <c r="K7" i="1"/>
  <c r="C5" i="1"/>
  <c r="F2" i="1"/>
  <c r="C74" i="1"/>
  <c r="F63" i="1"/>
  <c r="F55" i="1"/>
  <c r="K44" i="1"/>
  <c r="C34" i="1"/>
  <c r="C26" i="1"/>
  <c r="K20" i="1"/>
  <c r="K12" i="1"/>
  <c r="F7" i="1"/>
  <c r="C2" i="1"/>
  <c r="K73" i="1"/>
  <c r="K49" i="1"/>
  <c r="K33" i="1"/>
  <c r="F20" i="1"/>
  <c r="F4" i="1"/>
  <c r="K76" i="1"/>
</calcChain>
</file>

<file path=xl/sharedStrings.xml><?xml version="1.0" encoding="utf-8"?>
<sst xmlns="http://schemas.openxmlformats.org/spreadsheetml/2006/main" count="247" uniqueCount="107">
  <si>
    <t>district_code</t>
  </si>
  <si>
    <t>district_name</t>
  </si>
  <si>
    <t>district_name_eng</t>
  </si>
  <si>
    <t>province_id</t>
  </si>
  <si>
    <t>province_name</t>
  </si>
  <si>
    <t>Provience_name_eng</t>
  </si>
  <si>
    <t>total_constituencies</t>
  </si>
  <si>
    <t>total_candidates</t>
  </si>
  <si>
    <t>total_votes_cast</t>
  </si>
  <si>
    <t>dominant_party</t>
  </si>
  <si>
    <t>dominant_party_seats</t>
  </si>
  <si>
    <t>closest_margin_pct</t>
  </si>
  <si>
    <t>widest_margin_pct</t>
  </si>
  <si>
    <t>male_candidates</t>
  </si>
  <si>
    <t>female_candidates</t>
  </si>
  <si>
    <t>ताप्लेजुङ</t>
  </si>
  <si>
    <t>कोशी प्रदेश</t>
  </si>
  <si>
    <t>नेपाल कम्युनिष्ट पार्टी (एकीकृत मार्क्सवादी लेनिनवादी)</t>
  </si>
  <si>
    <t>पाँचथर</t>
  </si>
  <si>
    <t>नेपाली काँग्रेस</t>
  </si>
  <si>
    <t>इलाम</t>
  </si>
  <si>
    <t>झापा</t>
  </si>
  <si>
    <t>राष्ट्रिय स्वतन्त्र पार्टी</t>
  </si>
  <si>
    <t>संखुवासभा</t>
  </si>
  <si>
    <t>तेह्रथुम</t>
  </si>
  <si>
    <t>भोजपुर</t>
  </si>
  <si>
    <t>श्रम संस्कृति पार्टी</t>
  </si>
  <si>
    <t>धनकुटा</t>
  </si>
  <si>
    <t>मोरङ</t>
  </si>
  <si>
    <t>सुनसरी</t>
  </si>
  <si>
    <t>सोलुखुम्बु</t>
  </si>
  <si>
    <t>खोटाङ</t>
  </si>
  <si>
    <t>ओखलढुंगा</t>
  </si>
  <si>
    <t>उदयपुर</t>
  </si>
  <si>
    <t>सप्तरी</t>
  </si>
  <si>
    <t>मधेश प्रदेश</t>
  </si>
  <si>
    <t>सिराहा</t>
  </si>
  <si>
    <t>दोलखा</t>
  </si>
  <si>
    <t>बागमती प्रदेश</t>
  </si>
  <si>
    <t>रामेछाप</t>
  </si>
  <si>
    <t>सिन्धुली</t>
  </si>
  <si>
    <t>धनुषा</t>
  </si>
  <si>
    <t>महोत्तरी</t>
  </si>
  <si>
    <t>सर्लाही</t>
  </si>
  <si>
    <t>रसुवा</t>
  </si>
  <si>
    <t>धादिङ</t>
  </si>
  <si>
    <t>नुवाकोट</t>
  </si>
  <si>
    <t>काठमाडौं</t>
  </si>
  <si>
    <t>भक्तपुर</t>
  </si>
  <si>
    <t>ललितपुर</t>
  </si>
  <si>
    <t>काभ्रेपलाञ्चोक</t>
  </si>
  <si>
    <t>सिन्धुपाल्चोक</t>
  </si>
  <si>
    <t>मकवानपुर</t>
  </si>
  <si>
    <t>रौतहट</t>
  </si>
  <si>
    <t>बारा</t>
  </si>
  <si>
    <t>पर्सा</t>
  </si>
  <si>
    <t>चितवन</t>
  </si>
  <si>
    <t>गोरखा</t>
  </si>
  <si>
    <t>गण्डकी प्रदेश</t>
  </si>
  <si>
    <t>मनाङ</t>
  </si>
  <si>
    <t>लमजुङ</t>
  </si>
  <si>
    <t>कास्की</t>
  </si>
  <si>
    <t>तनहुँ</t>
  </si>
  <si>
    <t>स्याङजा</t>
  </si>
  <si>
    <t>गुल्मी</t>
  </si>
  <si>
    <t>लुम्बिनी प्रदेश</t>
  </si>
  <si>
    <t>पाल्पा</t>
  </si>
  <si>
    <t>अर्घाखाँची</t>
  </si>
  <si>
    <t>नवलपरासी (बर्दघाट सुस्ता पूर्व)</t>
  </si>
  <si>
    <t>रूपन्देही</t>
  </si>
  <si>
    <t>कपिलबस्तु</t>
  </si>
  <si>
    <t>मुस्ताङ</t>
  </si>
  <si>
    <t>म्याग्दी</t>
  </si>
  <si>
    <t>स्वतन्त्र</t>
  </si>
  <si>
    <t>बाग्लुङ</t>
  </si>
  <si>
    <t>पर्वत</t>
  </si>
  <si>
    <t>रुकुम (पूर्वी भाग)</t>
  </si>
  <si>
    <t>नेपाली कम्युनिष्ट पार्टी</t>
  </si>
  <si>
    <t>रोल्पा</t>
  </si>
  <si>
    <t>प्यूठान</t>
  </si>
  <si>
    <t>सल्यान</t>
  </si>
  <si>
    <t>कर्णाली प्रदेश</t>
  </si>
  <si>
    <t>दाङ</t>
  </si>
  <si>
    <t>डोल्पा</t>
  </si>
  <si>
    <t>मुगु</t>
  </si>
  <si>
    <t>जुम्ला</t>
  </si>
  <si>
    <t>राष्ट्रिय प्रजातन्त्र पार्टी</t>
  </si>
  <si>
    <t>कालिकोट</t>
  </si>
  <si>
    <t>हुम्ला</t>
  </si>
  <si>
    <t>जाजरकोट</t>
  </si>
  <si>
    <t>दैलेख</t>
  </si>
  <si>
    <t>सुर्खेत</t>
  </si>
  <si>
    <t>बाँके</t>
  </si>
  <si>
    <t>बर्दिया</t>
  </si>
  <si>
    <t>बाजुरा</t>
  </si>
  <si>
    <t>सुदूरपश्चिम प्रदेश</t>
  </si>
  <si>
    <t>अछाम</t>
  </si>
  <si>
    <t>बझाङ</t>
  </si>
  <si>
    <t>डोटी</t>
  </si>
  <si>
    <t>कैलाली</t>
  </si>
  <si>
    <t>दार्चुला</t>
  </si>
  <si>
    <t>बैतडी</t>
  </si>
  <si>
    <t>डडेलधुरा</t>
  </si>
  <si>
    <t>कञ्चनपुर</t>
  </si>
  <si>
    <t>नवलपरासी (बर्दघाट सुस्ता पश्चिम)</t>
  </si>
  <si>
    <t>रुकुम (पश्चिम भाग)</t>
  </si>
  <si>
    <t>dominant_party2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</si>
</sst>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1" displayName="Table1" ref="A1:P78" totalsRowShown="0" headerRowDxfId="0" dataDxfId="1">
  <autoFilter ref="A1:P78"/>
  <tableColumns count="16">
    <tableColumn id="1" name="district_code" dataDxfId="17"/>
    <tableColumn id="2" name="district_name" dataDxfId="16"/>
    <tableColumn id="3" name="district_name_eng" dataDxfId="15"/>
    <tableColumn id="4" name="province_id" dataDxfId="14"/>
    <tableColumn id="5" name="province_name" dataDxfId="13"/>
    <tableColumn id="6" name="Provience_name_eng" dataDxfId="12"/>
    <tableColumn id="7" name="total_constituencies" dataDxfId="11"/>
    <tableColumn id="8" name="total_candidates" dataDxfId="10"/>
    <tableColumn id="9" name="total_votes_cast" dataDxfId="9"/>
    <tableColumn id="10" name="dominant_party" dataDxfId="8"/>
    <tableColumn id="11" name="dominant_party2" dataDxfId="7"/>
    <tableColumn id="12" name="dominant_party_seats" dataDxfId="6"/>
    <tableColumn id="13" name="closest_margin_pct" dataDxfId="5"/>
    <tableColumn id="14" name="widest_margin_pct" dataDxfId="4"/>
    <tableColumn id="15" name="male_candidates" dataDxfId="3"/>
    <tableColumn id="16" name="female_candidates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78"/>
  <sheetViews>
    <sheetView tabSelected="1" workbookViewId="0">
      <selection activeCell="F15" sqref="F15"/>
    </sheetView>
  </sheetViews>
  <sheetFormatPr defaultColWidth="12.6640625" defaultRowHeight="15.75" customHeight="1" x14ac:dyDescent="0.25"/>
  <cols>
    <col min="1" max="1" width="14.21875" customWidth="1"/>
    <col min="2" max="2" width="14.6640625" customWidth="1"/>
    <col min="3" max="3" width="18.88671875" customWidth="1"/>
    <col min="4" max="4" width="13" customWidth="1"/>
    <col min="5" max="5" width="16.109375" customWidth="1"/>
    <col min="6" max="6" width="21.44140625" customWidth="1"/>
    <col min="7" max="7" width="20.44140625" customWidth="1"/>
    <col min="8" max="9" width="17.21875" customWidth="1"/>
    <col min="10" max="10" width="39.6640625" bestFit="1" customWidth="1"/>
    <col min="11" max="11" width="43.6640625" bestFit="1" customWidth="1"/>
    <col min="12" max="12" width="22.21875" customWidth="1"/>
    <col min="13" max="13" width="19.88671875" customWidth="1"/>
    <col min="14" max="14" width="19.33203125" customWidth="1"/>
    <col min="15" max="15" width="17.33203125" customWidth="1"/>
    <col min="16" max="16" width="18.886718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106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s="1">
        <v>1</v>
      </c>
      <c r="B2" s="1" t="s">
        <v>15</v>
      </c>
      <c r="C2" s="1" t="str">
        <f ca="1">IFERROR(__xludf.DUMMYFUNCTION("GOOGLETRANSLATE(B2,""ne"", ""en"")"),"Taplejung")</f>
        <v>Taplejung</v>
      </c>
      <c r="D2" s="1">
        <v>1</v>
      </c>
      <c r="E2" s="1" t="s">
        <v>16</v>
      </c>
      <c r="F2" s="1" t="str">
        <f ca="1">IFERROR(__xludf.DUMMYFUNCTION("GOOGLETRANSLATE(E2, ""ne"", ""en"")"),"Koshi region")</f>
        <v>Koshi region</v>
      </c>
      <c r="G2" s="1">
        <v>1</v>
      </c>
      <c r="H2" s="1">
        <v>13</v>
      </c>
      <c r="I2" s="1">
        <v>42897</v>
      </c>
      <c r="J2" s="1" t="s">
        <v>17</v>
      </c>
      <c r="K2" s="1" t="str">
        <f ca="1">IFERROR(__xludf.DUMMYFUNCTION("GOOGLETRANSLATE(J2, ""ne"", ""en"")"),"Communist Party of Nepal (Unified Marxist-Leninist)")</f>
        <v>Communist Party of Nepal (Unified Marxist-Leninist)</v>
      </c>
      <c r="L2" s="1">
        <v>1</v>
      </c>
      <c r="M2" s="1">
        <v>5.25</v>
      </c>
      <c r="N2" s="1">
        <v>5.25</v>
      </c>
      <c r="O2" s="1">
        <v>13</v>
      </c>
      <c r="P2" s="1">
        <v>0</v>
      </c>
    </row>
    <row r="3" spans="1:16" x14ac:dyDescent="0.25">
      <c r="A3" s="1">
        <v>2</v>
      </c>
      <c r="B3" s="1" t="s">
        <v>18</v>
      </c>
      <c r="C3" s="1" t="str">
        <f ca="1">IFERROR(__xludf.DUMMYFUNCTION("GOOGLETRANSLATE(B3,""ne"", ""en"")"),"Panchthar")</f>
        <v>Panchthar</v>
      </c>
      <c r="D3" s="1">
        <v>1</v>
      </c>
      <c r="E3" s="1" t="s">
        <v>16</v>
      </c>
      <c r="F3" s="1" t="str">
        <f ca="1">IFERROR(__xludf.DUMMYFUNCTION("GOOGLETRANSLATE(E3, ""ne"", ""en"")"),"Koshi region")</f>
        <v>Koshi region</v>
      </c>
      <c r="G3" s="1">
        <v>1</v>
      </c>
      <c r="H3" s="1">
        <v>15</v>
      </c>
      <c r="I3" s="1">
        <v>66921</v>
      </c>
      <c r="J3" s="1" t="s">
        <v>19</v>
      </c>
      <c r="K3" s="1" t="str">
        <f ca="1">IFERROR(__xludf.DUMMYFUNCTION("GOOGLETRANSLATE(J3, ""ne"", ""en"")"),"Nepali Congress")</f>
        <v>Nepali Congress</v>
      </c>
      <c r="L3" s="1">
        <v>1</v>
      </c>
      <c r="M3" s="1">
        <v>3.73</v>
      </c>
      <c r="N3" s="1">
        <v>3.73</v>
      </c>
      <c r="O3" s="1">
        <v>15</v>
      </c>
      <c r="P3" s="1">
        <v>0</v>
      </c>
    </row>
    <row r="4" spans="1:16" x14ac:dyDescent="0.25">
      <c r="A4" s="1">
        <v>3</v>
      </c>
      <c r="B4" s="1" t="s">
        <v>20</v>
      </c>
      <c r="C4" s="1" t="str">
        <f ca="1">IFERROR(__xludf.DUMMYFUNCTION("GOOGLETRANSLATE(B4,""ne"", ""en"")"),"Ilam")</f>
        <v>Ilam</v>
      </c>
      <c r="D4" s="1">
        <v>1</v>
      </c>
      <c r="E4" s="1" t="s">
        <v>16</v>
      </c>
      <c r="F4" s="1" t="str">
        <f ca="1">IFERROR(__xludf.DUMMYFUNCTION("GOOGLETRANSLATE(E4, ""ne"", ""en"")"),"Koshi region")</f>
        <v>Koshi region</v>
      </c>
      <c r="G4" s="1">
        <v>2</v>
      </c>
      <c r="H4" s="1">
        <v>27</v>
      </c>
      <c r="I4" s="1">
        <v>123172</v>
      </c>
      <c r="J4" s="1" t="s">
        <v>19</v>
      </c>
      <c r="K4" s="1" t="str">
        <f ca="1">IFERROR(__xludf.DUMMYFUNCTION("GOOGLETRANSLATE(J4, ""ne"", ""en"")"),"Nepali Congress")</f>
        <v>Nepali Congress</v>
      </c>
      <c r="L4" s="1">
        <v>1</v>
      </c>
      <c r="M4" s="1">
        <v>1.53</v>
      </c>
      <c r="N4" s="1">
        <v>12.19</v>
      </c>
      <c r="O4" s="1">
        <v>24</v>
      </c>
      <c r="P4" s="1">
        <v>3</v>
      </c>
    </row>
    <row r="5" spans="1:16" x14ac:dyDescent="0.25">
      <c r="A5" s="1">
        <v>4</v>
      </c>
      <c r="B5" s="1" t="s">
        <v>21</v>
      </c>
      <c r="C5" s="1" t="str">
        <f ca="1">IFERROR(__xludf.DUMMYFUNCTION("GOOGLETRANSLATE(B5,""ne"", ""en"")"),"Jhapa")</f>
        <v>Jhapa</v>
      </c>
      <c r="D5" s="1">
        <v>1</v>
      </c>
      <c r="E5" s="1" t="s">
        <v>16</v>
      </c>
      <c r="F5" s="1" t="str">
        <f ca="1">IFERROR(__xludf.DUMMYFUNCTION("GOOGLETRANSLATE(E5, ""ne"", ""en"")"),"Koshi region")</f>
        <v>Koshi region</v>
      </c>
      <c r="G5" s="1">
        <v>5</v>
      </c>
      <c r="H5" s="1">
        <v>90</v>
      </c>
      <c r="I5" s="1">
        <v>431512</v>
      </c>
      <c r="J5" s="1" t="s">
        <v>22</v>
      </c>
      <c r="K5" s="1" t="str">
        <f ca="1">IFERROR(__xludf.DUMMYFUNCTION("GOOGLETRANSLATE(J5, ""ne"", ""en"")"),"National Independence Party")</f>
        <v>National Independence Party</v>
      </c>
      <c r="L5" s="1">
        <v>5</v>
      </c>
      <c r="M5" s="1">
        <v>25.91</v>
      </c>
      <c r="N5" s="1">
        <v>53.37</v>
      </c>
      <c r="O5" s="1">
        <v>75</v>
      </c>
      <c r="P5" s="1">
        <v>15</v>
      </c>
    </row>
    <row r="6" spans="1:16" x14ac:dyDescent="0.25">
      <c r="A6" s="1">
        <v>5</v>
      </c>
      <c r="B6" s="1" t="s">
        <v>23</v>
      </c>
      <c r="C6" s="1" t="str">
        <f ca="1">IFERROR(__xludf.DUMMYFUNCTION("GOOGLETRANSLATE(B6,""ne"", ""en"")"),"Sankhuwasabha")</f>
        <v>Sankhuwasabha</v>
      </c>
      <c r="D6" s="1">
        <v>1</v>
      </c>
      <c r="E6" s="1" t="s">
        <v>16</v>
      </c>
      <c r="F6" s="1" t="str">
        <f ca="1">IFERROR(__xludf.DUMMYFUNCTION("GOOGLETRANSLATE(E6, ""ne"", ""en"")"),"Koshi region")</f>
        <v>Koshi region</v>
      </c>
      <c r="G6" s="1">
        <v>1</v>
      </c>
      <c r="H6" s="1">
        <v>16</v>
      </c>
      <c r="I6" s="1">
        <v>58888</v>
      </c>
      <c r="J6" s="1" t="s">
        <v>17</v>
      </c>
      <c r="K6" s="1" t="str">
        <f ca="1">IFERROR(__xludf.DUMMYFUNCTION("GOOGLETRANSLATE(J6, ""ne"", ""en"")"),"Communist Party of Nepal (Unified Marxist-Leninist)")</f>
        <v>Communist Party of Nepal (Unified Marxist-Leninist)</v>
      </c>
      <c r="L6" s="1">
        <v>1</v>
      </c>
      <c r="M6" s="1">
        <v>1.08</v>
      </c>
      <c r="N6" s="1">
        <v>1.08</v>
      </c>
      <c r="O6" s="1">
        <v>13</v>
      </c>
      <c r="P6" s="1">
        <v>3</v>
      </c>
    </row>
    <row r="7" spans="1:16" x14ac:dyDescent="0.25">
      <c r="A7" s="1">
        <v>6</v>
      </c>
      <c r="B7" s="1" t="s">
        <v>24</v>
      </c>
      <c r="C7" s="1" t="str">
        <f ca="1">IFERROR(__xludf.DUMMYFUNCTION("GOOGLETRANSLATE(B7,""ne"", ""en"")"),"Thirteenth")</f>
        <v>Thirteenth</v>
      </c>
      <c r="D7" s="1">
        <v>1</v>
      </c>
      <c r="E7" s="1" t="s">
        <v>16</v>
      </c>
      <c r="F7" s="1" t="str">
        <f ca="1">IFERROR(__xludf.DUMMYFUNCTION("GOOGLETRANSLATE(E7, ""ne"", ""en"")"),"Koshi region")</f>
        <v>Koshi region</v>
      </c>
      <c r="G7" s="1">
        <v>1</v>
      </c>
      <c r="H7" s="1">
        <v>12</v>
      </c>
      <c r="I7" s="1">
        <v>36795</v>
      </c>
      <c r="J7" s="1" t="s">
        <v>19</v>
      </c>
      <c r="K7" s="1" t="str">
        <f ca="1">IFERROR(__xludf.DUMMYFUNCTION("GOOGLETRANSLATE(J7, ""ne"", ""en"")"),"Nepali Congress")</f>
        <v>Nepali Congress</v>
      </c>
      <c r="L7" s="1">
        <v>1</v>
      </c>
      <c r="M7" s="1">
        <v>2.39</v>
      </c>
      <c r="N7" s="1">
        <v>2.39</v>
      </c>
      <c r="O7" s="1">
        <v>11</v>
      </c>
      <c r="P7" s="1">
        <v>1</v>
      </c>
    </row>
    <row r="8" spans="1:16" x14ac:dyDescent="0.25">
      <c r="A8" s="1">
        <v>7</v>
      </c>
      <c r="B8" s="1" t="s">
        <v>25</v>
      </c>
      <c r="C8" s="1" t="str">
        <f ca="1">IFERROR(__xludf.DUMMYFUNCTION("GOOGLETRANSLATE(B8,""ne"", ""en"")"),"Bhojpur")</f>
        <v>Bhojpur</v>
      </c>
      <c r="D8" s="1">
        <v>1</v>
      </c>
      <c r="E8" s="1" t="s">
        <v>16</v>
      </c>
      <c r="F8" s="1" t="str">
        <f ca="1">IFERROR(__xludf.DUMMYFUNCTION("GOOGLETRANSLATE(E8, ""ne"", ""en"")"),"Koshi region")</f>
        <v>Koshi region</v>
      </c>
      <c r="G8" s="1">
        <v>1</v>
      </c>
      <c r="H8" s="1">
        <v>12</v>
      </c>
      <c r="I8" s="1">
        <v>53728</v>
      </c>
      <c r="J8" s="1" t="s">
        <v>26</v>
      </c>
      <c r="K8" s="1" t="str">
        <f ca="1">IFERROR(__xludf.DUMMYFUNCTION("GOOGLETRANSLATE(J8, ""ne"", ""en"")"),"Labor Culture Party")</f>
        <v>Labor Culture Party</v>
      </c>
      <c r="L8" s="1">
        <v>1</v>
      </c>
      <c r="M8" s="1">
        <v>3.56</v>
      </c>
      <c r="N8" s="1">
        <v>3.56</v>
      </c>
      <c r="O8" s="1">
        <v>12</v>
      </c>
      <c r="P8" s="1">
        <v>0</v>
      </c>
    </row>
    <row r="9" spans="1:16" x14ac:dyDescent="0.25">
      <c r="A9" s="1">
        <v>8</v>
      </c>
      <c r="B9" s="1" t="s">
        <v>27</v>
      </c>
      <c r="C9" s="1" t="str">
        <f ca="1">IFERROR(__xludf.DUMMYFUNCTION("GOOGLETRANSLATE(B9,""ne"", ""en"")"),"Dhankuta")</f>
        <v>Dhankuta</v>
      </c>
      <c r="D9" s="1">
        <v>1</v>
      </c>
      <c r="E9" s="1" t="s">
        <v>16</v>
      </c>
      <c r="F9" s="1" t="str">
        <f ca="1">IFERROR(__xludf.DUMMYFUNCTION("GOOGLETRANSLATE(E9, ""ne"", ""en"")"),"Koshi region")</f>
        <v>Koshi region</v>
      </c>
      <c r="G9" s="1">
        <v>1</v>
      </c>
      <c r="H9" s="1">
        <v>17</v>
      </c>
      <c r="I9" s="1">
        <v>59208</v>
      </c>
      <c r="J9" s="1" t="s">
        <v>17</v>
      </c>
      <c r="K9" s="1" t="str">
        <f ca="1">IFERROR(__xludf.DUMMYFUNCTION("GOOGLETRANSLATE(J9, ""ne"", ""en"")"),"Communist Party of Nepal (Unified Marxist-Leninist)")</f>
        <v>Communist Party of Nepal (Unified Marxist-Leninist)</v>
      </c>
      <c r="L9" s="1">
        <v>1</v>
      </c>
      <c r="M9" s="1">
        <v>6.54</v>
      </c>
      <c r="N9" s="1">
        <v>6.54</v>
      </c>
      <c r="O9" s="1">
        <v>17</v>
      </c>
      <c r="P9" s="1">
        <v>0</v>
      </c>
    </row>
    <row r="10" spans="1:16" x14ac:dyDescent="0.25">
      <c r="A10" s="1">
        <v>9</v>
      </c>
      <c r="B10" s="1" t="s">
        <v>28</v>
      </c>
      <c r="C10" s="1" t="str">
        <f ca="1">IFERROR(__xludf.DUMMYFUNCTION("GOOGLETRANSLATE(B10,""ne"", ""en"")"),"Morang")</f>
        <v>Morang</v>
      </c>
      <c r="D10" s="1">
        <v>1</v>
      </c>
      <c r="E10" s="1" t="s">
        <v>16</v>
      </c>
      <c r="F10" s="1" t="str">
        <f ca="1">IFERROR(__xludf.DUMMYFUNCTION("GOOGLETRANSLATE(E10, ""ne"", ""en"")"),"Koshi region")</f>
        <v>Koshi region</v>
      </c>
      <c r="G10" s="1">
        <v>6</v>
      </c>
      <c r="H10" s="1">
        <v>110</v>
      </c>
      <c r="I10" s="1">
        <v>466565</v>
      </c>
      <c r="J10" s="1" t="s">
        <v>22</v>
      </c>
      <c r="K10" s="1" t="str">
        <f ca="1">IFERROR(__xludf.DUMMYFUNCTION("GOOGLETRANSLATE(J10, ""ne"", ""en"")"),"National Independence Party")</f>
        <v>National Independence Party</v>
      </c>
      <c r="L10" s="1">
        <v>6</v>
      </c>
      <c r="M10" s="1">
        <v>13.68</v>
      </c>
      <c r="N10" s="1">
        <v>49.92</v>
      </c>
      <c r="O10" s="1">
        <v>98</v>
      </c>
      <c r="P10" s="1">
        <v>12</v>
      </c>
    </row>
    <row r="11" spans="1:16" x14ac:dyDescent="0.25">
      <c r="A11" s="1">
        <v>10</v>
      </c>
      <c r="B11" s="1" t="s">
        <v>29</v>
      </c>
      <c r="C11" s="1" t="str">
        <f ca="1">IFERROR(__xludf.DUMMYFUNCTION("GOOGLETRANSLATE(B11,""ne"", ""en"")"),"Sunsari")</f>
        <v>Sunsari</v>
      </c>
      <c r="D11" s="1">
        <v>1</v>
      </c>
      <c r="E11" s="1" t="s">
        <v>16</v>
      </c>
      <c r="F11" s="1" t="str">
        <f ca="1">IFERROR(__xludf.DUMMYFUNCTION("GOOGLETRANSLATE(E11, ""ne"", ""en"")"),"Koshi region")</f>
        <v>Koshi region</v>
      </c>
      <c r="G11" s="1">
        <v>4</v>
      </c>
      <c r="H11" s="1">
        <v>110</v>
      </c>
      <c r="I11" s="1">
        <v>346275</v>
      </c>
      <c r="J11" s="1" t="s">
        <v>22</v>
      </c>
      <c r="K11" s="1" t="str">
        <f ca="1">IFERROR(__xludf.DUMMYFUNCTION("GOOGLETRANSLATE(J11, ""ne"", ""en"")"),"National Independence Party")</f>
        <v>National Independence Party</v>
      </c>
      <c r="L11" s="1">
        <v>3</v>
      </c>
      <c r="M11" s="1">
        <v>10.23</v>
      </c>
      <c r="N11" s="1">
        <v>43.25</v>
      </c>
      <c r="O11" s="1">
        <v>90</v>
      </c>
      <c r="P11" s="1">
        <v>20</v>
      </c>
    </row>
    <row r="12" spans="1:16" x14ac:dyDescent="0.25">
      <c r="A12" s="1">
        <v>11</v>
      </c>
      <c r="B12" s="1" t="s">
        <v>30</v>
      </c>
      <c r="C12" s="1" t="str">
        <f ca="1">IFERROR(__xludf.DUMMYFUNCTION("GOOGLETRANSLATE(B12,""ne"", ""en"")"),"Solukhumbu")</f>
        <v>Solukhumbu</v>
      </c>
      <c r="D12" s="1">
        <v>1</v>
      </c>
      <c r="E12" s="1" t="s">
        <v>16</v>
      </c>
      <c r="F12" s="1" t="str">
        <f ca="1">IFERROR(__xludf.DUMMYFUNCTION("GOOGLETRANSLATE(E12, ""ne"", ""en"")"),"Koshi region")</f>
        <v>Koshi region</v>
      </c>
      <c r="G12" s="1">
        <v>1</v>
      </c>
      <c r="H12" s="1">
        <v>12</v>
      </c>
      <c r="I12" s="1">
        <v>38566</v>
      </c>
      <c r="J12" s="1" t="s">
        <v>19</v>
      </c>
      <c r="K12" s="1" t="str">
        <f ca="1">IFERROR(__xludf.DUMMYFUNCTION("GOOGLETRANSLATE(J12, ""ne"", ""en"")"),"Nepali Congress")</f>
        <v>Nepali Congress</v>
      </c>
      <c r="L12" s="1">
        <v>1</v>
      </c>
      <c r="M12" s="1">
        <v>9.73</v>
      </c>
      <c r="N12" s="1">
        <v>9.73</v>
      </c>
      <c r="O12" s="1">
        <v>11</v>
      </c>
      <c r="P12" s="1">
        <v>1</v>
      </c>
    </row>
    <row r="13" spans="1:16" x14ac:dyDescent="0.25">
      <c r="A13" s="1">
        <v>12</v>
      </c>
      <c r="B13" s="1" t="s">
        <v>31</v>
      </c>
      <c r="C13" s="1" t="str">
        <f ca="1">IFERROR(__xludf.DUMMYFUNCTION("GOOGLETRANSLATE(B13,""ne"", ""en"")"),"Khotang")</f>
        <v>Khotang</v>
      </c>
      <c r="D13" s="1">
        <v>1</v>
      </c>
      <c r="E13" s="1" t="s">
        <v>16</v>
      </c>
      <c r="F13" s="1" t="str">
        <f ca="1">IFERROR(__xludf.DUMMYFUNCTION("GOOGLETRANSLATE(E13, ""ne"", ""en"")"),"Koshi region")</f>
        <v>Koshi region</v>
      </c>
      <c r="G13" s="1">
        <v>1</v>
      </c>
      <c r="H13" s="1">
        <v>15</v>
      </c>
      <c r="I13" s="1">
        <v>58638</v>
      </c>
      <c r="J13" s="1" t="s">
        <v>26</v>
      </c>
      <c r="K13" s="1" t="str">
        <f ca="1">IFERROR(__xludf.DUMMYFUNCTION("GOOGLETRANSLATE(J13, ""ne"", ""en"")"),"Labor Culture Party")</f>
        <v>Labor Culture Party</v>
      </c>
      <c r="L13" s="1">
        <v>1</v>
      </c>
      <c r="M13" s="1">
        <v>6.65</v>
      </c>
      <c r="N13" s="1">
        <v>6.65</v>
      </c>
      <c r="O13" s="1">
        <v>15</v>
      </c>
      <c r="P13" s="1">
        <v>0</v>
      </c>
    </row>
    <row r="14" spans="1:16" x14ac:dyDescent="0.25">
      <c r="A14" s="1">
        <v>13</v>
      </c>
      <c r="B14" s="1" t="s">
        <v>32</v>
      </c>
      <c r="C14" s="1" t="str">
        <f ca="1">IFERROR(__xludf.DUMMYFUNCTION("GOOGLETRANSLATE(B14,""ne"", ""en"")"),"Okhaldhunga")</f>
        <v>Okhaldhunga</v>
      </c>
      <c r="D14" s="1">
        <v>1</v>
      </c>
      <c r="E14" s="1" t="s">
        <v>16</v>
      </c>
      <c r="F14" s="1" t="str">
        <f ca="1">IFERROR(__xludf.DUMMYFUNCTION("GOOGLETRANSLATE(E14, ""ne"", ""en"")"),"Koshi region")</f>
        <v>Koshi region</v>
      </c>
      <c r="G14" s="1">
        <v>1</v>
      </c>
      <c r="H14" s="1">
        <v>15</v>
      </c>
      <c r="I14" s="1">
        <v>55535</v>
      </c>
      <c r="J14" s="1" t="s">
        <v>22</v>
      </c>
      <c r="K14" s="1" t="str">
        <f ca="1">IFERROR(__xludf.DUMMYFUNCTION("GOOGLETRANSLATE(J14, ""ne"", ""en"")"),"National Independence Party")</f>
        <v>National Independence Party</v>
      </c>
      <c r="L14" s="1">
        <v>1</v>
      </c>
      <c r="M14" s="1">
        <v>0.01</v>
      </c>
      <c r="N14" s="1">
        <v>0.01</v>
      </c>
      <c r="O14" s="1">
        <v>11</v>
      </c>
      <c r="P14" s="1">
        <v>3</v>
      </c>
    </row>
    <row r="15" spans="1:16" x14ac:dyDescent="0.25">
      <c r="A15" s="1">
        <v>14</v>
      </c>
      <c r="B15" s="1" t="s">
        <v>33</v>
      </c>
      <c r="C15" s="1" t="str">
        <f ca="1">IFERROR(__xludf.DUMMYFUNCTION("GOOGLETRANSLATE(B15,""ne"", ""en"")"),"Udaipur")</f>
        <v>Udaipur</v>
      </c>
      <c r="D15" s="1">
        <v>1</v>
      </c>
      <c r="E15" s="1" t="s">
        <v>16</v>
      </c>
      <c r="F15" s="1" t="str">
        <f ca="1">IFERROR(__xludf.DUMMYFUNCTION("GOOGLETRANSLATE(E15, ""ne"", ""en"")"),"Koshi region")</f>
        <v>Koshi region</v>
      </c>
      <c r="G15" s="1">
        <v>2</v>
      </c>
      <c r="H15" s="1">
        <v>31</v>
      </c>
      <c r="I15" s="1">
        <v>114672</v>
      </c>
      <c r="J15" s="1" t="s">
        <v>22</v>
      </c>
      <c r="K15" s="1" t="str">
        <f ca="1">IFERROR(__xludf.DUMMYFUNCTION("GOOGLETRANSLATE(J15, ""ne"", ""en"")"),"National Independence Party")</f>
        <v>National Independence Party</v>
      </c>
      <c r="L15" s="1">
        <v>2</v>
      </c>
      <c r="M15" s="1">
        <v>17.55</v>
      </c>
      <c r="N15" s="1">
        <v>25.68</v>
      </c>
      <c r="O15" s="1">
        <v>31</v>
      </c>
      <c r="P15" s="1">
        <v>0</v>
      </c>
    </row>
    <row r="16" spans="1:16" x14ac:dyDescent="0.25">
      <c r="A16" s="1">
        <v>15</v>
      </c>
      <c r="B16" s="1" t="s">
        <v>34</v>
      </c>
      <c r="C16" s="1" t="str">
        <f ca="1">IFERROR(__xludf.DUMMYFUNCTION("GOOGLETRANSLATE(B16,""ne"", ""en"")"),"Saptari")</f>
        <v>Saptari</v>
      </c>
      <c r="D16" s="1">
        <v>2</v>
      </c>
      <c r="E16" s="1" t="s">
        <v>35</v>
      </c>
      <c r="F16" s="1" t="str">
        <f ca="1">IFERROR(__xludf.DUMMYFUNCTION("GOOGLETRANSLATE(E16, ""ne"", ""en"")"),"Madhesh Pradesh")</f>
        <v>Madhesh Pradesh</v>
      </c>
      <c r="G16" s="1">
        <v>4</v>
      </c>
      <c r="H16" s="1">
        <v>102</v>
      </c>
      <c r="I16" s="1">
        <v>269706</v>
      </c>
      <c r="J16" s="1" t="s">
        <v>22</v>
      </c>
      <c r="K16" s="1" t="str">
        <f ca="1">IFERROR(__xludf.DUMMYFUNCTION("GOOGLETRANSLATE(J16, ""ne"", ""en"")"),"National Independence Party")</f>
        <v>National Independence Party</v>
      </c>
      <c r="L16" s="1">
        <v>4</v>
      </c>
      <c r="M16" s="1">
        <v>22.52</v>
      </c>
      <c r="N16" s="1">
        <v>42.55</v>
      </c>
      <c r="O16" s="1">
        <v>82</v>
      </c>
      <c r="P16" s="1">
        <v>20</v>
      </c>
    </row>
    <row r="17" spans="1:16" x14ac:dyDescent="0.25">
      <c r="A17" s="1">
        <v>16</v>
      </c>
      <c r="B17" s="1" t="s">
        <v>36</v>
      </c>
      <c r="C17" s="1" t="str">
        <f ca="1">IFERROR(__xludf.DUMMYFUNCTION("GOOGLETRANSLATE(B17,""ne"", ""en"")"),"Siraha")</f>
        <v>Siraha</v>
      </c>
      <c r="D17" s="1">
        <v>2</v>
      </c>
      <c r="E17" s="1" t="s">
        <v>35</v>
      </c>
      <c r="F17" s="1" t="str">
        <f ca="1">IFERROR(__xludf.DUMMYFUNCTION("GOOGLETRANSLATE(E17, ""ne"", ""en"")"),"Madhesh Pradesh")</f>
        <v>Madhesh Pradesh</v>
      </c>
      <c r="G17" s="1">
        <v>4</v>
      </c>
      <c r="H17" s="1">
        <v>138</v>
      </c>
      <c r="I17" s="1">
        <v>270798</v>
      </c>
      <c r="J17" s="1" t="s">
        <v>22</v>
      </c>
      <c r="K17" s="1" t="str">
        <f ca="1">IFERROR(__xludf.DUMMYFUNCTION("GOOGLETRANSLATE(J17, ""ne"", ""en"")"),"National Independence Party")</f>
        <v>National Independence Party</v>
      </c>
      <c r="L17" s="1">
        <v>4</v>
      </c>
      <c r="M17" s="1">
        <v>31.28</v>
      </c>
      <c r="N17" s="1">
        <v>46.83</v>
      </c>
      <c r="O17" s="1">
        <v>130</v>
      </c>
      <c r="P17" s="1">
        <v>8</v>
      </c>
    </row>
    <row r="18" spans="1:16" x14ac:dyDescent="0.25">
      <c r="A18" s="1">
        <v>17</v>
      </c>
      <c r="B18" s="1" t="s">
        <v>37</v>
      </c>
      <c r="C18" s="1" t="str">
        <f ca="1">IFERROR(__xludf.DUMMYFUNCTION("GOOGLETRANSLATE(B18,""ne"", ""en"")"),"Dolakha")</f>
        <v>Dolakha</v>
      </c>
      <c r="D18" s="1">
        <v>3</v>
      </c>
      <c r="E18" s="1" t="s">
        <v>38</v>
      </c>
      <c r="F18" s="1" t="str">
        <f ca="1">IFERROR(__xludf.DUMMYFUNCTION("GOOGLETRANSLATE(E18, ""ne"", ""en"")"),"Bagmati Province")</f>
        <v>Bagmati Province</v>
      </c>
      <c r="G18" s="1">
        <v>1</v>
      </c>
      <c r="H18" s="1">
        <v>33</v>
      </c>
      <c r="I18" s="1">
        <v>79815</v>
      </c>
      <c r="J18" s="1" t="s">
        <v>22</v>
      </c>
      <c r="K18" s="1" t="str">
        <f ca="1">IFERROR(__xludf.DUMMYFUNCTION("GOOGLETRANSLATE(J18, ""ne"", ""en"")"),"National Independence Party")</f>
        <v>National Independence Party</v>
      </c>
      <c r="L18" s="1">
        <v>1</v>
      </c>
      <c r="M18" s="1">
        <v>18.7</v>
      </c>
      <c r="N18" s="1">
        <v>18.7</v>
      </c>
      <c r="O18" s="1">
        <v>29</v>
      </c>
      <c r="P18" s="1">
        <v>4</v>
      </c>
    </row>
    <row r="19" spans="1:16" x14ac:dyDescent="0.25">
      <c r="A19" s="1">
        <v>18</v>
      </c>
      <c r="B19" s="1" t="s">
        <v>39</v>
      </c>
      <c r="C19" s="1" t="str">
        <f ca="1">IFERROR(__xludf.DUMMYFUNCTION("GOOGLETRANSLATE(B19,""ne"", ""en"")"),"Ramechhap")</f>
        <v>Ramechhap</v>
      </c>
      <c r="D19" s="1">
        <v>3</v>
      </c>
      <c r="E19" s="1" t="s">
        <v>38</v>
      </c>
      <c r="F19" s="1" t="str">
        <f ca="1">IFERROR(__xludf.DUMMYFUNCTION("GOOGLETRANSLATE(E19, ""ne"", ""en"")"),"Bagmati Province")</f>
        <v>Bagmati Province</v>
      </c>
      <c r="G19" s="1">
        <v>1</v>
      </c>
      <c r="H19" s="1">
        <v>17</v>
      </c>
      <c r="I19" s="1">
        <v>81994</v>
      </c>
      <c r="J19" s="1" t="s">
        <v>22</v>
      </c>
      <c r="K19" s="1" t="str">
        <f ca="1">IFERROR(__xludf.DUMMYFUNCTION("GOOGLETRANSLATE(J19, ""ne"", ""en"")"),"National Independence Party")</f>
        <v>National Independence Party</v>
      </c>
      <c r="L19" s="1">
        <v>1</v>
      </c>
      <c r="M19" s="1">
        <v>8.7799999999999994</v>
      </c>
      <c r="N19" s="1">
        <v>8.7799999999999994</v>
      </c>
      <c r="O19" s="1">
        <v>16</v>
      </c>
      <c r="P19" s="1">
        <v>1</v>
      </c>
    </row>
    <row r="20" spans="1:16" x14ac:dyDescent="0.25">
      <c r="A20" s="1">
        <v>19</v>
      </c>
      <c r="B20" s="1" t="s">
        <v>40</v>
      </c>
      <c r="C20" s="1" t="str">
        <f ca="1">IFERROR(__xludf.DUMMYFUNCTION("GOOGLETRANSLATE(B20,""ne"", ""en"")"),"Sindhuli")</f>
        <v>Sindhuli</v>
      </c>
      <c r="D20" s="1">
        <v>3</v>
      </c>
      <c r="E20" s="1" t="s">
        <v>38</v>
      </c>
      <c r="F20" s="1" t="str">
        <f ca="1">IFERROR(__xludf.DUMMYFUNCTION("GOOGLETRANSLATE(E20, ""ne"", ""en"")"),"Bagmati Province")</f>
        <v>Bagmati Province</v>
      </c>
      <c r="G20" s="1">
        <v>2</v>
      </c>
      <c r="H20" s="1">
        <v>28</v>
      </c>
      <c r="I20" s="1">
        <v>110941</v>
      </c>
      <c r="J20" s="1" t="s">
        <v>22</v>
      </c>
      <c r="K20" s="1" t="str">
        <f ca="1">IFERROR(__xludf.DUMMYFUNCTION("GOOGLETRANSLATE(J20, ""ne"", ""en"")"),"National Independence Party")</f>
        <v>National Independence Party</v>
      </c>
      <c r="L20" s="1">
        <v>2</v>
      </c>
      <c r="M20" s="1">
        <v>1.37</v>
      </c>
      <c r="N20" s="1">
        <v>5.89</v>
      </c>
      <c r="O20" s="1">
        <v>26</v>
      </c>
      <c r="P20" s="1">
        <v>2</v>
      </c>
    </row>
    <row r="21" spans="1:16" x14ac:dyDescent="0.25">
      <c r="A21" s="1">
        <v>20</v>
      </c>
      <c r="B21" s="1" t="s">
        <v>41</v>
      </c>
      <c r="C21" s="1" t="str">
        <f ca="1">IFERROR(__xludf.DUMMYFUNCTION("GOOGLETRANSLATE(B21,""ne"", ""en"")"),"Dhanusha")</f>
        <v>Dhanusha</v>
      </c>
      <c r="D21" s="1">
        <v>2</v>
      </c>
      <c r="E21" s="1" t="s">
        <v>35</v>
      </c>
      <c r="F21" s="1" t="str">
        <f ca="1">IFERROR(__xludf.DUMMYFUNCTION("GOOGLETRANSLATE(E21, ""ne"", ""en"")"),"Madhesh Pradesh")</f>
        <v>Madhesh Pradesh</v>
      </c>
      <c r="G21" s="1">
        <v>4</v>
      </c>
      <c r="H21" s="1">
        <v>157</v>
      </c>
      <c r="I21" s="1">
        <v>231570</v>
      </c>
      <c r="J21" s="1" t="s">
        <v>22</v>
      </c>
      <c r="K21" s="1" t="str">
        <f ca="1">IFERROR(__xludf.DUMMYFUNCTION("GOOGLETRANSLATE(J21, ""ne"", ""en"")"),"National Independence Party")</f>
        <v>National Independence Party</v>
      </c>
      <c r="L21" s="1">
        <v>3</v>
      </c>
      <c r="M21" s="1">
        <v>0</v>
      </c>
      <c r="N21" s="1">
        <v>41.01</v>
      </c>
      <c r="O21" s="1">
        <v>142</v>
      </c>
      <c r="P21" s="1">
        <v>15</v>
      </c>
    </row>
    <row r="22" spans="1:16" x14ac:dyDescent="0.25">
      <c r="A22" s="1">
        <v>21</v>
      </c>
      <c r="B22" s="1" t="s">
        <v>42</v>
      </c>
      <c r="C22" s="1" t="str">
        <f ca="1">IFERROR(__xludf.DUMMYFUNCTION("GOOGLETRANSLATE(B22,""ne"", ""en"")"),"Mahottari")</f>
        <v>Mahottari</v>
      </c>
      <c r="D22" s="1">
        <v>2</v>
      </c>
      <c r="E22" s="1" t="s">
        <v>35</v>
      </c>
      <c r="F22" s="1" t="str">
        <f ca="1">IFERROR(__xludf.DUMMYFUNCTION("GOOGLETRANSLATE(E22, ""ne"", ""en"")"),"Madhesh Pradesh")</f>
        <v>Madhesh Pradesh</v>
      </c>
      <c r="G22" s="1">
        <v>4</v>
      </c>
      <c r="H22" s="1">
        <v>139</v>
      </c>
      <c r="I22" s="1">
        <v>241411</v>
      </c>
      <c r="J22" s="1" t="s">
        <v>22</v>
      </c>
      <c r="K22" s="1" t="str">
        <f ca="1">IFERROR(__xludf.DUMMYFUNCTION("GOOGLETRANSLATE(J22, ""ne"", ""en"")"),"National Independence Party")</f>
        <v>National Independence Party</v>
      </c>
      <c r="L22" s="1">
        <v>4</v>
      </c>
      <c r="M22" s="1">
        <v>34.81</v>
      </c>
      <c r="N22" s="1">
        <v>44.52</v>
      </c>
      <c r="O22" s="1">
        <v>120</v>
      </c>
      <c r="P22" s="1">
        <v>19</v>
      </c>
    </row>
    <row r="23" spans="1:16" x14ac:dyDescent="0.25">
      <c r="A23" s="1">
        <v>22</v>
      </c>
      <c r="B23" s="1" t="s">
        <v>43</v>
      </c>
      <c r="C23" s="1" t="str">
        <f ca="1">IFERROR(__xludf.DUMMYFUNCTION("GOOGLETRANSLATE(B23,""ne"", ""en"")"),"Sarlahi")</f>
        <v>Sarlahi</v>
      </c>
      <c r="D23" s="1">
        <v>2</v>
      </c>
      <c r="E23" s="1" t="s">
        <v>35</v>
      </c>
      <c r="F23" s="1" t="str">
        <f ca="1">IFERROR(__xludf.DUMMYFUNCTION("GOOGLETRANSLATE(E23, ""ne"", ""en"")"),"Madhesh Pradesh")</f>
        <v>Madhesh Pradesh</v>
      </c>
      <c r="G23" s="1">
        <v>4</v>
      </c>
      <c r="H23" s="1">
        <v>131</v>
      </c>
      <c r="I23" s="1">
        <v>297411</v>
      </c>
      <c r="J23" s="1" t="s">
        <v>22</v>
      </c>
      <c r="K23" s="1" t="str">
        <f ca="1">IFERROR(__xludf.DUMMYFUNCTION("GOOGLETRANSLATE(J23, ""ne"", ""en"")"),"National Independence Party")</f>
        <v>National Independence Party</v>
      </c>
      <c r="L23" s="1">
        <v>4</v>
      </c>
      <c r="M23" s="1">
        <v>17.53</v>
      </c>
      <c r="N23" s="1">
        <v>49.17</v>
      </c>
      <c r="O23" s="1">
        <v>125</v>
      </c>
      <c r="P23" s="1">
        <v>6</v>
      </c>
    </row>
    <row r="24" spans="1:16" x14ac:dyDescent="0.25">
      <c r="A24" s="1">
        <v>23</v>
      </c>
      <c r="B24" s="1" t="s">
        <v>44</v>
      </c>
      <c r="C24" s="1" t="str">
        <f ca="1">IFERROR(__xludf.DUMMYFUNCTION("GOOGLETRANSLATE(B24,""ne"", ""en"")"),"Rasuwa")</f>
        <v>Rasuwa</v>
      </c>
      <c r="D24" s="1">
        <v>3</v>
      </c>
      <c r="E24" s="1" t="s">
        <v>38</v>
      </c>
      <c r="F24" s="1" t="str">
        <f ca="1">IFERROR(__xludf.DUMMYFUNCTION("GOOGLETRANSLATE(E24, ""ne"", ""en"")"),"Bagmati Province")</f>
        <v>Bagmati Province</v>
      </c>
      <c r="G24" s="1">
        <v>1</v>
      </c>
      <c r="H24" s="1">
        <v>12</v>
      </c>
      <c r="I24" s="1">
        <v>23941</v>
      </c>
      <c r="J24" s="1" t="s">
        <v>19</v>
      </c>
      <c r="K24" s="1" t="str">
        <f ca="1">IFERROR(__xludf.DUMMYFUNCTION("GOOGLETRANSLATE(J24, ""ne"", ""en"")"),"Nepali Congress")</f>
        <v>Nepali Congress</v>
      </c>
      <c r="L24" s="1">
        <v>1</v>
      </c>
      <c r="M24" s="1">
        <v>21.24</v>
      </c>
      <c r="N24" s="1">
        <v>21.24</v>
      </c>
      <c r="O24" s="1">
        <v>11</v>
      </c>
      <c r="P24" s="1">
        <v>1</v>
      </c>
    </row>
    <row r="25" spans="1:16" x14ac:dyDescent="0.25">
      <c r="A25" s="1">
        <v>24</v>
      </c>
      <c r="B25" s="1" t="s">
        <v>45</v>
      </c>
      <c r="C25" s="1" t="str">
        <f ca="1">IFERROR(__xludf.DUMMYFUNCTION("GOOGLETRANSLATE(B25,""ne"", ""en"")"),"Dhading")</f>
        <v>Dhading</v>
      </c>
      <c r="D25" s="1">
        <v>3</v>
      </c>
      <c r="E25" s="1" t="s">
        <v>38</v>
      </c>
      <c r="F25" s="1" t="str">
        <f ca="1">IFERROR(__xludf.DUMMYFUNCTION("GOOGLETRANSLATE(E25, ""ne"", ""en"")"),"Bagmati Province")</f>
        <v>Bagmati Province</v>
      </c>
      <c r="G25" s="1">
        <v>2</v>
      </c>
      <c r="H25" s="1">
        <v>47</v>
      </c>
      <c r="I25" s="1">
        <v>150592</v>
      </c>
      <c r="J25" s="1" t="s">
        <v>22</v>
      </c>
      <c r="K25" s="1" t="str">
        <f ca="1">IFERROR(__xludf.DUMMYFUNCTION("GOOGLETRANSLATE(J25, ""ne"", ""en"")"),"National Independence Party")</f>
        <v>National Independence Party</v>
      </c>
      <c r="L25" s="1">
        <v>2</v>
      </c>
      <c r="M25" s="1">
        <v>8.41</v>
      </c>
      <c r="N25" s="1">
        <v>29.81</v>
      </c>
      <c r="O25" s="1">
        <v>43</v>
      </c>
      <c r="P25" s="1">
        <v>4</v>
      </c>
    </row>
    <row r="26" spans="1:16" x14ac:dyDescent="0.25">
      <c r="A26" s="1">
        <v>25</v>
      </c>
      <c r="B26" s="1" t="s">
        <v>46</v>
      </c>
      <c r="C26" s="1" t="str">
        <f ca="1">IFERROR(__xludf.DUMMYFUNCTION("GOOGLETRANSLATE(B26,""ne"", ""en"")"),"Nuwakot")</f>
        <v>Nuwakot</v>
      </c>
      <c r="D26" s="1">
        <v>3</v>
      </c>
      <c r="E26" s="1" t="s">
        <v>38</v>
      </c>
      <c r="F26" s="1" t="str">
        <f ca="1">IFERROR(__xludf.DUMMYFUNCTION("GOOGLETRANSLATE(E26, ""ne"", ""en"")"),"Bagmati Province")</f>
        <v>Bagmati Province</v>
      </c>
      <c r="G26" s="1">
        <v>2</v>
      </c>
      <c r="H26" s="1">
        <v>30</v>
      </c>
      <c r="I26" s="1">
        <v>134370</v>
      </c>
      <c r="J26" s="1" t="s">
        <v>22</v>
      </c>
      <c r="K26" s="1" t="str">
        <f ca="1">IFERROR(__xludf.DUMMYFUNCTION("GOOGLETRANSLATE(J26, ""ne"", ""en"")"),"National Independence Party")</f>
        <v>National Independence Party</v>
      </c>
      <c r="L26" s="1">
        <v>2</v>
      </c>
      <c r="M26" s="1">
        <v>5.96</v>
      </c>
      <c r="N26" s="1">
        <v>24.67</v>
      </c>
      <c r="O26" s="1">
        <v>29</v>
      </c>
      <c r="P26" s="1">
        <v>1</v>
      </c>
    </row>
    <row r="27" spans="1:16" x14ac:dyDescent="0.25">
      <c r="A27" s="1">
        <v>26</v>
      </c>
      <c r="B27" s="1" t="s">
        <v>47</v>
      </c>
      <c r="C27" s="1" t="str">
        <f ca="1">IFERROR(__xludf.DUMMYFUNCTION("GOOGLETRANSLATE(B27,""ne"", ""en"")"),"Kathmandu")</f>
        <v>Kathmandu</v>
      </c>
      <c r="D27" s="1">
        <v>3</v>
      </c>
      <c r="E27" s="1" t="s">
        <v>38</v>
      </c>
      <c r="F27" s="1" t="str">
        <f ca="1">IFERROR(__xludf.DUMMYFUNCTION("GOOGLETRANSLATE(E27, ""ne"", ""en"")"),"Bagmati Province")</f>
        <v>Bagmati Province</v>
      </c>
      <c r="G27" s="1">
        <v>10</v>
      </c>
      <c r="H27" s="1">
        <v>250</v>
      </c>
      <c r="I27" s="1">
        <v>458100</v>
      </c>
      <c r="J27" s="1" t="s">
        <v>22</v>
      </c>
      <c r="K27" s="1" t="str">
        <f ca="1">IFERROR(__xludf.DUMMYFUNCTION("GOOGLETRANSLATE(J27, ""ne"", ""en"")"),"National Independence Party")</f>
        <v>National Independence Party</v>
      </c>
      <c r="L27" s="1">
        <v>10</v>
      </c>
      <c r="M27" s="1">
        <v>18.100000000000001</v>
      </c>
      <c r="N27" s="1">
        <v>58.7</v>
      </c>
      <c r="O27" s="1">
        <v>204</v>
      </c>
      <c r="P27" s="1">
        <v>46</v>
      </c>
    </row>
    <row r="28" spans="1:16" x14ac:dyDescent="0.25">
      <c r="A28" s="1">
        <v>27</v>
      </c>
      <c r="B28" s="1" t="s">
        <v>48</v>
      </c>
      <c r="C28" s="1" t="str">
        <f ca="1">IFERROR(__xludf.DUMMYFUNCTION("GOOGLETRANSLATE(B28,""ne"", ""en"")"),"Bhaktapur")</f>
        <v>Bhaktapur</v>
      </c>
      <c r="D28" s="1">
        <v>3</v>
      </c>
      <c r="E28" s="1" t="s">
        <v>38</v>
      </c>
      <c r="F28" s="1" t="str">
        <f ca="1">IFERROR(__xludf.DUMMYFUNCTION("GOOGLETRANSLATE(E28, ""ne"", ""en"")"),"Bagmati Province")</f>
        <v>Bagmati Province</v>
      </c>
      <c r="G28" s="1">
        <v>2</v>
      </c>
      <c r="H28" s="1">
        <v>57</v>
      </c>
      <c r="I28" s="1">
        <v>144739</v>
      </c>
      <c r="J28" s="1" t="s">
        <v>22</v>
      </c>
      <c r="K28" s="1" t="str">
        <f ca="1">IFERROR(__xludf.DUMMYFUNCTION("GOOGLETRANSLATE(J28, ""ne"", ""en"")"),"National Independence Party")</f>
        <v>National Independence Party</v>
      </c>
      <c r="L28" s="1">
        <v>2</v>
      </c>
      <c r="M28" s="1">
        <v>7.06</v>
      </c>
      <c r="N28" s="1">
        <v>44.91</v>
      </c>
      <c r="O28" s="1">
        <v>48</v>
      </c>
      <c r="P28" s="1">
        <v>9</v>
      </c>
    </row>
    <row r="29" spans="1:16" x14ac:dyDescent="0.25">
      <c r="A29" s="1">
        <v>28</v>
      </c>
      <c r="B29" s="1" t="s">
        <v>49</v>
      </c>
      <c r="C29" s="1" t="str">
        <f ca="1">IFERROR(__xludf.DUMMYFUNCTION("GOOGLETRANSLATE(B29,""ne"", ""en"")"),"Lalitpur")</f>
        <v>Lalitpur</v>
      </c>
      <c r="D29" s="1">
        <v>3</v>
      </c>
      <c r="E29" s="1" t="s">
        <v>38</v>
      </c>
      <c r="F29" s="1" t="str">
        <f ca="1">IFERROR(__xludf.DUMMYFUNCTION("GOOGLETRANSLATE(E29, ""ne"", ""en"")"),"Bagmati Province")</f>
        <v>Bagmati Province</v>
      </c>
      <c r="G29" s="1">
        <v>3</v>
      </c>
      <c r="H29" s="1">
        <v>71</v>
      </c>
      <c r="I29" s="1">
        <v>177927</v>
      </c>
      <c r="J29" s="1" t="s">
        <v>22</v>
      </c>
      <c r="K29" s="1" t="str">
        <f ca="1">IFERROR(__xludf.DUMMYFUNCTION("GOOGLETRANSLATE(J29, ""ne"", ""en"")"),"National Independence Party")</f>
        <v>National Independence Party</v>
      </c>
      <c r="L29" s="1">
        <v>3</v>
      </c>
      <c r="M29" s="1">
        <v>19.87</v>
      </c>
      <c r="N29" s="1">
        <v>52.31</v>
      </c>
      <c r="O29" s="1">
        <v>62</v>
      </c>
      <c r="P29" s="1">
        <v>9</v>
      </c>
    </row>
    <row r="30" spans="1:16" x14ac:dyDescent="0.25">
      <c r="A30" s="1">
        <v>29</v>
      </c>
      <c r="B30" s="1" t="s">
        <v>50</v>
      </c>
      <c r="C30" s="1" t="str">
        <f ca="1">IFERROR(__xludf.DUMMYFUNCTION("GOOGLETRANSLATE(B30,""ne"", ""en"")"),"Kavrepalanchok")</f>
        <v>Kavrepalanchok</v>
      </c>
      <c r="D30" s="1">
        <v>3</v>
      </c>
      <c r="E30" s="1" t="s">
        <v>38</v>
      </c>
      <c r="F30" s="1" t="str">
        <f ca="1">IFERROR(__xludf.DUMMYFUNCTION("GOOGLETRANSLATE(E30, ""ne"", ""en"")"),"Bagmati Province")</f>
        <v>Bagmati Province</v>
      </c>
      <c r="G30" s="1">
        <v>2</v>
      </c>
      <c r="H30" s="1">
        <v>42</v>
      </c>
      <c r="I30" s="1">
        <v>185704</v>
      </c>
      <c r="J30" s="1" t="s">
        <v>22</v>
      </c>
      <c r="K30" s="1" t="str">
        <f ca="1">IFERROR(__xludf.DUMMYFUNCTION("GOOGLETRANSLATE(J30, ""ne"", ""en"")"),"National Independence Party")</f>
        <v>National Independence Party</v>
      </c>
      <c r="L30" s="1">
        <v>2</v>
      </c>
      <c r="M30" s="1">
        <v>12.14</v>
      </c>
      <c r="N30" s="1">
        <v>35.630000000000003</v>
      </c>
      <c r="O30" s="1">
        <v>39</v>
      </c>
      <c r="P30" s="1">
        <v>3</v>
      </c>
    </row>
    <row r="31" spans="1:16" x14ac:dyDescent="0.25">
      <c r="A31" s="1">
        <v>30</v>
      </c>
      <c r="B31" s="1" t="s">
        <v>51</v>
      </c>
      <c r="C31" s="1" t="str">
        <f ca="1">IFERROR(__xludf.DUMMYFUNCTION("GOOGLETRANSLATE(B31,""ne"", ""en"")"),"Sindhupalchowk")</f>
        <v>Sindhupalchowk</v>
      </c>
      <c r="D31" s="1">
        <v>3</v>
      </c>
      <c r="E31" s="1" t="s">
        <v>38</v>
      </c>
      <c r="F31" s="1" t="str">
        <f ca="1">IFERROR(__xludf.DUMMYFUNCTION("GOOGLETRANSLATE(E31, ""ne"", ""en"")"),"Bagmati Province")</f>
        <v>Bagmati Province</v>
      </c>
      <c r="G31" s="1">
        <v>2</v>
      </c>
      <c r="H31" s="1">
        <v>36</v>
      </c>
      <c r="I31" s="1">
        <v>143473</v>
      </c>
      <c r="J31" s="1" t="s">
        <v>22</v>
      </c>
      <c r="K31" s="1" t="str">
        <f ca="1">IFERROR(__xludf.DUMMYFUNCTION("GOOGLETRANSLATE(J31, ""ne"", ""en"")"),"National Independence Party")</f>
        <v>National Independence Party</v>
      </c>
      <c r="L31" s="1">
        <v>1</v>
      </c>
      <c r="M31" s="1">
        <v>3.43</v>
      </c>
      <c r="N31" s="1">
        <v>10.26</v>
      </c>
      <c r="O31" s="1">
        <v>33</v>
      </c>
      <c r="P31" s="1">
        <v>3</v>
      </c>
    </row>
    <row r="32" spans="1:16" x14ac:dyDescent="0.25">
      <c r="A32" s="1">
        <v>31</v>
      </c>
      <c r="B32" s="1" t="s">
        <v>52</v>
      </c>
      <c r="C32" s="1" t="str">
        <f ca="1">IFERROR(__xludf.DUMMYFUNCTION("GOOGLETRANSLATE(B32,""ne"", ""en"")"),"Makwanpur")</f>
        <v>Makwanpur</v>
      </c>
      <c r="D32" s="1">
        <v>3</v>
      </c>
      <c r="E32" s="1" t="s">
        <v>38</v>
      </c>
      <c r="F32" s="1" t="str">
        <f ca="1">IFERROR(__xludf.DUMMYFUNCTION("GOOGLETRANSLATE(E32, ""ne"", ""en"")"),"Bagmati Province")</f>
        <v>Bagmati Province</v>
      </c>
      <c r="G32" s="1">
        <v>2</v>
      </c>
      <c r="H32" s="1">
        <v>44</v>
      </c>
      <c r="I32" s="1">
        <v>176344</v>
      </c>
      <c r="J32" s="1" t="s">
        <v>22</v>
      </c>
      <c r="K32" s="1" t="str">
        <f ca="1">IFERROR(__xludf.DUMMYFUNCTION("GOOGLETRANSLATE(J32, ""ne"", ""en"")"),"National Independence Party")</f>
        <v>National Independence Party</v>
      </c>
      <c r="L32" s="1">
        <v>2</v>
      </c>
      <c r="M32" s="1">
        <v>13.09</v>
      </c>
      <c r="N32" s="1">
        <v>24.24</v>
      </c>
      <c r="O32" s="1">
        <v>37</v>
      </c>
      <c r="P32" s="1">
        <v>7</v>
      </c>
    </row>
    <row r="33" spans="1:16" x14ac:dyDescent="0.25">
      <c r="A33" s="1">
        <v>32</v>
      </c>
      <c r="B33" s="1" t="s">
        <v>53</v>
      </c>
      <c r="C33" s="1" t="str">
        <f ca="1">IFERROR(__xludf.DUMMYFUNCTION("GOOGLETRANSLATE(B33,""ne"", ""en"")"),"Rautahat")</f>
        <v>Rautahat</v>
      </c>
      <c r="D33" s="1">
        <v>2</v>
      </c>
      <c r="E33" s="1" t="s">
        <v>35</v>
      </c>
      <c r="F33" s="1" t="str">
        <f ca="1">IFERROR(__xludf.DUMMYFUNCTION("GOOGLETRANSLATE(E33, ""ne"", ""en"")"),"Madhesh Pradesh")</f>
        <v>Madhesh Pradesh</v>
      </c>
      <c r="G33" s="1">
        <v>4</v>
      </c>
      <c r="H33" s="1">
        <v>142</v>
      </c>
      <c r="I33" s="1">
        <v>269536</v>
      </c>
      <c r="J33" s="1" t="s">
        <v>22</v>
      </c>
      <c r="K33" s="1" t="str">
        <f ca="1">IFERROR(__xludf.DUMMYFUNCTION("GOOGLETRANSLATE(J33, ""ne"", ""en"")"),"National Independence Party")</f>
        <v>National Independence Party</v>
      </c>
      <c r="L33" s="1">
        <v>3</v>
      </c>
      <c r="M33" s="1">
        <v>16.760000000000002</v>
      </c>
      <c r="N33" s="1">
        <v>30.16</v>
      </c>
      <c r="O33" s="1">
        <v>129</v>
      </c>
      <c r="P33" s="1">
        <v>13</v>
      </c>
    </row>
    <row r="34" spans="1:16" x14ac:dyDescent="0.25">
      <c r="A34" s="1">
        <v>33</v>
      </c>
      <c r="B34" s="1" t="s">
        <v>54</v>
      </c>
      <c r="C34" s="1" t="str">
        <f ca="1">IFERROR(__xludf.DUMMYFUNCTION("GOOGLETRANSLATE(B34,""ne"", ""en"")"),"Twelve")</f>
        <v>Twelve</v>
      </c>
      <c r="D34" s="1">
        <v>2</v>
      </c>
      <c r="E34" s="1" t="s">
        <v>35</v>
      </c>
      <c r="F34" s="1" t="str">
        <f ca="1">IFERROR(__xludf.DUMMYFUNCTION("GOOGLETRANSLATE(E34, ""ne"", ""en"")"),"Madhesh Pradesh")</f>
        <v>Madhesh Pradesh</v>
      </c>
      <c r="G34" s="1">
        <v>4</v>
      </c>
      <c r="H34" s="1">
        <v>110</v>
      </c>
      <c r="I34" s="1">
        <v>293888</v>
      </c>
      <c r="J34" s="1" t="s">
        <v>22</v>
      </c>
      <c r="K34" s="1" t="str">
        <f ca="1">IFERROR(__xludf.DUMMYFUNCTION("GOOGLETRANSLATE(J34, ""ne"", ""en"")"),"National Independence Party")</f>
        <v>National Independence Party</v>
      </c>
      <c r="L34" s="1">
        <v>4</v>
      </c>
      <c r="M34" s="1">
        <v>29.4</v>
      </c>
      <c r="N34" s="1">
        <v>43.04</v>
      </c>
      <c r="O34" s="1">
        <v>94</v>
      </c>
      <c r="P34" s="1">
        <v>16</v>
      </c>
    </row>
    <row r="35" spans="1:16" x14ac:dyDescent="0.25">
      <c r="A35" s="1">
        <v>34</v>
      </c>
      <c r="B35" s="1" t="s">
        <v>55</v>
      </c>
      <c r="C35" s="1" t="str">
        <f ca="1">IFERROR(__xludf.DUMMYFUNCTION("GOOGLETRANSLATE(B35,""ne"", ""en"")"),"Parsa")</f>
        <v>Parsa</v>
      </c>
      <c r="D35" s="1">
        <v>2</v>
      </c>
      <c r="E35" s="1" t="s">
        <v>35</v>
      </c>
      <c r="F35" s="1" t="str">
        <f ca="1">IFERROR(__xludf.DUMMYFUNCTION("GOOGLETRANSLATE(E35, ""ne"", ""en"")"),"Madhesh Pradesh")</f>
        <v>Madhesh Pradesh</v>
      </c>
      <c r="G35" s="1">
        <v>4</v>
      </c>
      <c r="H35" s="1">
        <v>107</v>
      </c>
      <c r="I35" s="1">
        <v>242766</v>
      </c>
      <c r="J35" s="1" t="s">
        <v>22</v>
      </c>
      <c r="K35" s="1" t="str">
        <f ca="1">IFERROR(__xludf.DUMMYFUNCTION("GOOGLETRANSLATE(J35, ""ne"", ""en"")"),"National Independence Party")</f>
        <v>National Independence Party</v>
      </c>
      <c r="L35" s="1">
        <v>4</v>
      </c>
      <c r="M35" s="1">
        <v>21.34</v>
      </c>
      <c r="N35" s="1">
        <v>30.75</v>
      </c>
      <c r="O35" s="1">
        <v>95</v>
      </c>
      <c r="P35" s="1">
        <v>12</v>
      </c>
    </row>
    <row r="36" spans="1:16" x14ac:dyDescent="0.25">
      <c r="A36" s="1">
        <v>35</v>
      </c>
      <c r="B36" s="1" t="s">
        <v>56</v>
      </c>
      <c r="C36" s="1" t="str">
        <f ca="1">IFERROR(__xludf.DUMMYFUNCTION("GOOGLETRANSLATE(B36,""ne"", ""en"")"),"Chitwan")</f>
        <v>Chitwan</v>
      </c>
      <c r="D36" s="1">
        <v>3</v>
      </c>
      <c r="E36" s="1" t="s">
        <v>38</v>
      </c>
      <c r="F36" s="1" t="str">
        <f ca="1">IFERROR(__xludf.DUMMYFUNCTION("GOOGLETRANSLATE(E36, ""ne"", ""en"")"),"Bagmati Province")</f>
        <v>Bagmati Province</v>
      </c>
      <c r="G36" s="1">
        <v>3</v>
      </c>
      <c r="H36" s="1">
        <v>64</v>
      </c>
      <c r="I36" s="1">
        <v>272789</v>
      </c>
      <c r="J36" s="1" t="s">
        <v>22</v>
      </c>
      <c r="K36" s="1" t="str">
        <f ca="1">IFERROR(__xludf.DUMMYFUNCTION("GOOGLETRANSLATE(J36, ""ne"", ""en"")"),"National Independence Party")</f>
        <v>National Independence Party</v>
      </c>
      <c r="L36" s="1">
        <v>3</v>
      </c>
      <c r="M36" s="1">
        <v>40</v>
      </c>
      <c r="N36" s="1">
        <v>49.16</v>
      </c>
      <c r="O36" s="1">
        <v>46</v>
      </c>
      <c r="P36" s="1">
        <v>18</v>
      </c>
    </row>
    <row r="37" spans="1:16" x14ac:dyDescent="0.25">
      <c r="A37" s="1">
        <v>36</v>
      </c>
      <c r="B37" s="1" t="s">
        <v>57</v>
      </c>
      <c r="C37" s="1" t="str">
        <f ca="1">IFERROR(__xludf.DUMMYFUNCTION("GOOGLETRANSLATE(B37,""ne"", ""en"")"),"Gorkha")</f>
        <v>Gorkha</v>
      </c>
      <c r="D37" s="1">
        <v>4</v>
      </c>
      <c r="E37" s="1" t="s">
        <v>58</v>
      </c>
      <c r="F37" s="1" t="str">
        <f ca="1">IFERROR(__xludf.DUMMYFUNCTION("GOOGLETRANSLATE(E37, ""ne"", ""en"")"),"Gandaki Province")</f>
        <v>Gandaki Province</v>
      </c>
      <c r="G37" s="1">
        <v>2</v>
      </c>
      <c r="H37" s="1">
        <v>25</v>
      </c>
      <c r="I37" s="1">
        <v>115537</v>
      </c>
      <c r="J37" s="1" t="s">
        <v>22</v>
      </c>
      <c r="K37" s="1" t="str">
        <f ca="1">IFERROR(__xludf.DUMMYFUNCTION("GOOGLETRANSLATE(J37, ""ne"", ""en"")"),"National Independence Party")</f>
        <v>National Independence Party</v>
      </c>
      <c r="L37" s="1">
        <v>2</v>
      </c>
      <c r="M37" s="1">
        <v>23.62</v>
      </c>
      <c r="N37" s="1">
        <v>27.63</v>
      </c>
      <c r="O37" s="1">
        <v>22</v>
      </c>
      <c r="P37" s="1">
        <v>3</v>
      </c>
    </row>
    <row r="38" spans="1:16" x14ac:dyDescent="0.25">
      <c r="A38" s="1">
        <v>37</v>
      </c>
      <c r="B38" s="1" t="s">
        <v>59</v>
      </c>
      <c r="C38" s="1" t="str">
        <f ca="1">IFERROR(__xludf.DUMMYFUNCTION("GOOGLETRANSLATE(B38,""ne"", ""en"")"),"Manang")</f>
        <v>Manang</v>
      </c>
      <c r="D38" s="1">
        <v>4</v>
      </c>
      <c r="E38" s="1" t="s">
        <v>58</v>
      </c>
      <c r="F38" s="1" t="str">
        <f ca="1">IFERROR(__xludf.DUMMYFUNCTION("GOOGLETRANSLATE(E38, ""ne"", ""en"")"),"Gandaki Province")</f>
        <v>Gandaki Province</v>
      </c>
      <c r="G38" s="1">
        <v>1</v>
      </c>
      <c r="H38" s="1">
        <v>3</v>
      </c>
      <c r="I38" s="1">
        <v>2878</v>
      </c>
      <c r="J38" s="1" t="s">
        <v>19</v>
      </c>
      <c r="K38" s="1" t="str">
        <f ca="1">IFERROR(__xludf.DUMMYFUNCTION("GOOGLETRANSLATE(J38, ""ne"", ""en"")"),"Nepali Congress")</f>
        <v>Nepali Congress</v>
      </c>
      <c r="L38" s="1">
        <v>1</v>
      </c>
      <c r="M38" s="1">
        <v>68.14</v>
      </c>
      <c r="N38" s="1">
        <v>68.14</v>
      </c>
      <c r="O38" s="1">
        <v>2</v>
      </c>
      <c r="P38" s="1">
        <v>1</v>
      </c>
    </row>
    <row r="39" spans="1:16" x14ac:dyDescent="0.25">
      <c r="A39" s="1">
        <v>38</v>
      </c>
      <c r="B39" s="1" t="s">
        <v>60</v>
      </c>
      <c r="C39" s="1" t="str">
        <f ca="1">IFERROR(__xludf.DUMMYFUNCTION("GOOGLETRANSLATE(B39,""ne"", ""en"")"),"Lamjung")</f>
        <v>Lamjung</v>
      </c>
      <c r="D39" s="1">
        <v>4</v>
      </c>
      <c r="E39" s="1" t="s">
        <v>58</v>
      </c>
      <c r="F39" s="1" t="str">
        <f ca="1">IFERROR(__xludf.DUMMYFUNCTION("GOOGLETRANSLATE(E39, ""ne"", ""en"")"),"Gandaki Province")</f>
        <v>Gandaki Province</v>
      </c>
      <c r="G39" s="1">
        <v>1</v>
      </c>
      <c r="H39" s="1">
        <v>12</v>
      </c>
      <c r="I39" s="1">
        <v>73010</v>
      </c>
      <c r="J39" s="1" t="s">
        <v>22</v>
      </c>
      <c r="K39" s="1" t="str">
        <f ca="1">IFERROR(__xludf.DUMMYFUNCTION("GOOGLETRANSLATE(J39, ""ne"", ""en"")"),"National Independence Party")</f>
        <v>National Independence Party</v>
      </c>
      <c r="L39" s="1">
        <v>1</v>
      </c>
      <c r="M39" s="1">
        <v>23.31</v>
      </c>
      <c r="N39" s="1">
        <v>23.31</v>
      </c>
      <c r="O39" s="1">
        <v>11</v>
      </c>
      <c r="P39" s="1">
        <v>1</v>
      </c>
    </row>
    <row r="40" spans="1:16" x14ac:dyDescent="0.25">
      <c r="A40" s="1">
        <v>39</v>
      </c>
      <c r="B40" s="1" t="s">
        <v>61</v>
      </c>
      <c r="C40" s="1" t="str">
        <f ca="1">IFERROR(__xludf.DUMMYFUNCTION("GOOGLETRANSLATE(B40,""ne"", ""en"")"),"Kaski")</f>
        <v>Kaski</v>
      </c>
      <c r="D40" s="1">
        <v>4</v>
      </c>
      <c r="E40" s="1" t="s">
        <v>58</v>
      </c>
      <c r="F40" s="1" t="str">
        <f ca="1">IFERROR(__xludf.DUMMYFUNCTION("GOOGLETRANSLATE(E40, ""ne"", ""en"")"),"Gandaki Province")</f>
        <v>Gandaki Province</v>
      </c>
      <c r="G40" s="1">
        <v>3</v>
      </c>
      <c r="H40" s="1">
        <v>49</v>
      </c>
      <c r="I40" s="1">
        <v>180734</v>
      </c>
      <c r="J40" s="1" t="s">
        <v>22</v>
      </c>
      <c r="K40" s="1" t="str">
        <f ca="1">IFERROR(__xludf.DUMMYFUNCTION("GOOGLETRANSLATE(J40, ""ne"", ""en"")"),"National Independence Party")</f>
        <v>National Independence Party</v>
      </c>
      <c r="L40" s="1">
        <v>3</v>
      </c>
      <c r="M40" s="1">
        <v>39.86</v>
      </c>
      <c r="N40" s="1">
        <v>48.19</v>
      </c>
      <c r="O40" s="1">
        <v>44</v>
      </c>
      <c r="P40" s="1">
        <v>5</v>
      </c>
    </row>
    <row r="41" spans="1:16" x14ac:dyDescent="0.25">
      <c r="A41" s="1">
        <v>40</v>
      </c>
      <c r="B41" s="1" t="s">
        <v>62</v>
      </c>
      <c r="C41" s="1" t="str">
        <f ca="1">IFERROR(__xludf.DUMMYFUNCTION("GOOGLETRANSLATE(B41,""ne"", ""en"")"),"Tanahun")</f>
        <v>Tanahun</v>
      </c>
      <c r="D41" s="1">
        <v>4</v>
      </c>
      <c r="E41" s="1" t="s">
        <v>58</v>
      </c>
      <c r="F41" s="1" t="str">
        <f ca="1">IFERROR(__xludf.DUMMYFUNCTION("GOOGLETRANSLATE(E41, ""ne"", ""en"")"),"Gandaki Province")</f>
        <v>Gandaki Province</v>
      </c>
      <c r="G41" s="1">
        <v>2</v>
      </c>
      <c r="H41" s="1">
        <v>27</v>
      </c>
      <c r="I41" s="1">
        <v>127998</v>
      </c>
      <c r="J41" s="1" t="s">
        <v>22</v>
      </c>
      <c r="K41" s="1" t="str">
        <f ca="1">IFERROR(__xludf.DUMMYFUNCTION("GOOGLETRANSLATE(J41, ""ne"", ""en"")"),"National Independence Party")</f>
        <v>National Independence Party</v>
      </c>
      <c r="L41" s="1">
        <v>2</v>
      </c>
      <c r="M41" s="1">
        <v>29.65</v>
      </c>
      <c r="N41" s="1">
        <v>33.340000000000003</v>
      </c>
      <c r="O41" s="1">
        <v>23</v>
      </c>
      <c r="P41" s="1">
        <v>4</v>
      </c>
    </row>
    <row r="42" spans="1:16" x14ac:dyDescent="0.25">
      <c r="A42" s="1">
        <v>41</v>
      </c>
      <c r="B42" s="1" t="s">
        <v>63</v>
      </c>
      <c r="C42" s="1" t="str">
        <f ca="1">IFERROR(__xludf.DUMMYFUNCTION("GOOGLETRANSLATE(B42,""ne"", ""en"")"),"Syangja")</f>
        <v>Syangja</v>
      </c>
      <c r="D42" s="1">
        <v>4</v>
      </c>
      <c r="E42" s="1" t="s">
        <v>58</v>
      </c>
      <c r="F42" s="1" t="str">
        <f ca="1">IFERROR(__xludf.DUMMYFUNCTION("GOOGLETRANSLATE(E42, ""ne"", ""en"")"),"Gandaki Province")</f>
        <v>Gandaki Province</v>
      </c>
      <c r="G42" s="1">
        <v>2</v>
      </c>
      <c r="H42" s="1">
        <v>24</v>
      </c>
      <c r="I42" s="1">
        <v>130302</v>
      </c>
      <c r="J42" s="1" t="s">
        <v>22</v>
      </c>
      <c r="K42" s="1" t="str">
        <f ca="1">IFERROR(__xludf.DUMMYFUNCTION("GOOGLETRANSLATE(J42, ""ne"", ""en"")"),"National Independence Party")</f>
        <v>National Independence Party</v>
      </c>
      <c r="L42" s="1">
        <v>2</v>
      </c>
      <c r="M42" s="1">
        <v>7.27</v>
      </c>
      <c r="N42" s="1">
        <v>15.01</v>
      </c>
      <c r="O42" s="1">
        <v>24</v>
      </c>
      <c r="P42" s="1">
        <v>0</v>
      </c>
    </row>
    <row r="43" spans="1:16" x14ac:dyDescent="0.25">
      <c r="A43" s="1">
        <v>42</v>
      </c>
      <c r="B43" s="1" t="s">
        <v>64</v>
      </c>
      <c r="C43" s="1" t="str">
        <f ca="1">IFERROR(__xludf.DUMMYFUNCTION("GOOGLETRANSLATE(B43,""ne"", ""en"")"),"Gulmi")</f>
        <v>Gulmi</v>
      </c>
      <c r="D43" s="1">
        <v>5</v>
      </c>
      <c r="E43" s="1" t="s">
        <v>65</v>
      </c>
      <c r="F43" s="1" t="str">
        <f ca="1">IFERROR(__xludf.DUMMYFUNCTION("GOOGLETRANSLATE(E43, ""ne"", ""en"")"),"Lumbini Province")</f>
        <v>Lumbini Province</v>
      </c>
      <c r="G43" s="1">
        <v>2</v>
      </c>
      <c r="H43" s="1">
        <v>43</v>
      </c>
      <c r="I43" s="1">
        <v>114824</v>
      </c>
      <c r="J43" s="1" t="s">
        <v>22</v>
      </c>
      <c r="K43" s="1" t="str">
        <f ca="1">IFERROR(__xludf.DUMMYFUNCTION("GOOGLETRANSLATE(J43, ""ne"", ""en"")"),"National Independence Party")</f>
        <v>National Independence Party</v>
      </c>
      <c r="L43" s="1">
        <v>2</v>
      </c>
      <c r="M43" s="1">
        <v>1.08</v>
      </c>
      <c r="N43" s="1">
        <v>23</v>
      </c>
      <c r="O43" s="1">
        <v>38</v>
      </c>
      <c r="P43" s="1">
        <v>5</v>
      </c>
    </row>
    <row r="44" spans="1:16" x14ac:dyDescent="0.25">
      <c r="A44" s="1">
        <v>43</v>
      </c>
      <c r="B44" s="1" t="s">
        <v>66</v>
      </c>
      <c r="C44" s="1" t="str">
        <f ca="1">IFERROR(__xludf.DUMMYFUNCTION("GOOGLETRANSLATE(B44,""ne"", ""en"")"),"Palpa")</f>
        <v>Palpa</v>
      </c>
      <c r="D44" s="1">
        <v>5</v>
      </c>
      <c r="E44" s="1" t="s">
        <v>65</v>
      </c>
      <c r="F44" s="1" t="str">
        <f ca="1">IFERROR(__xludf.DUMMYFUNCTION("GOOGLETRANSLATE(E44, ""ne"", ""en"")"),"Lumbini Province")</f>
        <v>Lumbini Province</v>
      </c>
      <c r="G44" s="1">
        <v>2</v>
      </c>
      <c r="H44" s="1">
        <v>29</v>
      </c>
      <c r="I44" s="1">
        <v>109964</v>
      </c>
      <c r="J44" s="1" t="s">
        <v>19</v>
      </c>
      <c r="K44" s="1" t="str">
        <f ca="1">IFERROR(__xludf.DUMMYFUNCTION("GOOGLETRANSLATE(J44, ""ne"", ""en"")"),"Nepali Congress")</f>
        <v>Nepali Congress</v>
      </c>
      <c r="L44" s="1">
        <v>1</v>
      </c>
      <c r="M44" s="1">
        <v>2.93</v>
      </c>
      <c r="N44" s="1">
        <v>23.64</v>
      </c>
      <c r="O44" s="1">
        <v>27</v>
      </c>
      <c r="P44" s="1">
        <v>2</v>
      </c>
    </row>
    <row r="45" spans="1:16" x14ac:dyDescent="0.25">
      <c r="A45" s="1">
        <v>44</v>
      </c>
      <c r="B45" s="1" t="s">
        <v>67</v>
      </c>
      <c r="C45" s="1" t="str">
        <f ca="1">IFERROR(__xludf.DUMMYFUNCTION("GOOGLETRANSLATE(B45,""ne"", ""en"")"),"Arghakhanchi")</f>
        <v>Arghakhanchi</v>
      </c>
      <c r="D45" s="1">
        <v>5</v>
      </c>
      <c r="E45" s="1" t="s">
        <v>65</v>
      </c>
      <c r="F45" s="1" t="str">
        <f ca="1">IFERROR(__xludf.DUMMYFUNCTION("GOOGLETRANSLATE(E45, ""ne"", ""en"")"),"Lumbini Province")</f>
        <v>Lumbini Province</v>
      </c>
      <c r="G45" s="1">
        <v>1</v>
      </c>
      <c r="H45" s="1">
        <v>15</v>
      </c>
      <c r="I45" s="1">
        <v>83306</v>
      </c>
      <c r="J45" s="1" t="s">
        <v>22</v>
      </c>
      <c r="K45" s="1" t="str">
        <f ca="1">IFERROR(__xludf.DUMMYFUNCTION("GOOGLETRANSLATE(J45, ""ne"", ""en"")"),"National Independence Party")</f>
        <v>National Independence Party</v>
      </c>
      <c r="L45" s="1">
        <v>1</v>
      </c>
      <c r="M45" s="1">
        <v>14.85</v>
      </c>
      <c r="N45" s="1">
        <v>14.85</v>
      </c>
      <c r="O45" s="1">
        <v>14</v>
      </c>
      <c r="P45" s="1">
        <v>1</v>
      </c>
    </row>
    <row r="46" spans="1:16" x14ac:dyDescent="0.25">
      <c r="A46" s="1">
        <v>45</v>
      </c>
      <c r="B46" s="1" t="s">
        <v>68</v>
      </c>
      <c r="C46" s="1" t="str">
        <f ca="1">IFERROR(__xludf.DUMMYFUNCTION("GOOGLETRANSLATE(B46,""ne"", ""en"")"),"Nawalparasi (East of Bardaghat Susta)")</f>
        <v>Nawalparasi (East of Bardaghat Susta)</v>
      </c>
      <c r="D46" s="1">
        <v>4</v>
      </c>
      <c r="E46" s="1" t="s">
        <v>58</v>
      </c>
      <c r="F46" s="1" t="str">
        <f ca="1">IFERROR(__xludf.DUMMYFUNCTION("GOOGLETRANSLATE(E46, ""ne"", ""en"")"),"Gandaki Province")</f>
        <v>Gandaki Province</v>
      </c>
      <c r="G46" s="1">
        <v>2</v>
      </c>
      <c r="H46" s="1">
        <v>34</v>
      </c>
      <c r="I46" s="1">
        <v>157788</v>
      </c>
      <c r="J46" s="1" t="s">
        <v>22</v>
      </c>
      <c r="K46" s="1" t="str">
        <f ca="1">IFERROR(__xludf.DUMMYFUNCTION("GOOGLETRANSLATE(J46, ""ne"", ""en"")"),"National Independence Party")</f>
        <v>National Independence Party</v>
      </c>
      <c r="L46" s="1">
        <v>2</v>
      </c>
      <c r="M46" s="1">
        <v>33.57</v>
      </c>
      <c r="N46" s="1">
        <v>42.49</v>
      </c>
      <c r="O46" s="1">
        <v>27</v>
      </c>
      <c r="P46" s="1">
        <v>7</v>
      </c>
    </row>
    <row r="47" spans="1:16" x14ac:dyDescent="0.25">
      <c r="A47" s="1">
        <v>46</v>
      </c>
      <c r="B47" s="1" t="s">
        <v>69</v>
      </c>
      <c r="C47" s="1" t="str">
        <f ca="1">IFERROR(__xludf.DUMMYFUNCTION("GOOGLETRANSLATE(B47,""ne"", ""en"")"),"Rupandehi")</f>
        <v>Rupandehi</v>
      </c>
      <c r="D47" s="1">
        <v>5</v>
      </c>
      <c r="E47" s="1" t="s">
        <v>65</v>
      </c>
      <c r="F47" s="1" t="str">
        <f ca="1">IFERROR(__xludf.DUMMYFUNCTION("GOOGLETRANSLATE(E47, ""ne"", ""en"")"),"Lumbini Province")</f>
        <v>Lumbini Province</v>
      </c>
      <c r="G47" s="1">
        <v>5</v>
      </c>
      <c r="H47" s="1">
        <v>155</v>
      </c>
      <c r="I47" s="1">
        <v>416290</v>
      </c>
      <c r="J47" s="1" t="s">
        <v>22</v>
      </c>
      <c r="K47" s="1" t="str">
        <f ca="1">IFERROR(__xludf.DUMMYFUNCTION("GOOGLETRANSLATE(J47, ""ne"", ""en"")"),"National Independence Party")</f>
        <v>National Independence Party</v>
      </c>
      <c r="L47" s="1">
        <v>5</v>
      </c>
      <c r="M47" s="1">
        <v>10.83</v>
      </c>
      <c r="N47" s="1">
        <v>56.34</v>
      </c>
      <c r="O47" s="1">
        <v>136</v>
      </c>
      <c r="P47" s="1">
        <v>19</v>
      </c>
    </row>
    <row r="48" spans="1:16" x14ac:dyDescent="0.25">
      <c r="A48" s="1">
        <v>47</v>
      </c>
      <c r="B48" s="1" t="s">
        <v>70</v>
      </c>
      <c r="C48" s="1" t="str">
        <f ca="1">IFERROR(__xludf.DUMMYFUNCTION("GOOGLETRANSLATE(B48,""ne"", ""en"")"),"Kapilvastu")</f>
        <v>Kapilvastu</v>
      </c>
      <c r="D48" s="1">
        <v>5</v>
      </c>
      <c r="E48" s="1" t="s">
        <v>65</v>
      </c>
      <c r="F48" s="1" t="str">
        <f ca="1">IFERROR(__xludf.DUMMYFUNCTION("GOOGLETRANSLATE(E48, ""ne"", ""en"")"),"Lumbini Province")</f>
        <v>Lumbini Province</v>
      </c>
      <c r="G48" s="1">
        <v>3</v>
      </c>
      <c r="H48" s="1">
        <v>98</v>
      </c>
      <c r="I48" s="1">
        <v>234420</v>
      </c>
      <c r="J48" s="1" t="s">
        <v>22</v>
      </c>
      <c r="K48" s="1" t="str">
        <f ca="1">IFERROR(__xludf.DUMMYFUNCTION("GOOGLETRANSLATE(J48, ""ne"", ""en"")"),"National Independence Party")</f>
        <v>National Independence Party</v>
      </c>
      <c r="L48" s="1">
        <v>2</v>
      </c>
      <c r="M48" s="1">
        <v>6.71</v>
      </c>
      <c r="N48" s="1">
        <v>21.47</v>
      </c>
      <c r="O48" s="1">
        <v>94</v>
      </c>
      <c r="P48" s="1">
        <v>4</v>
      </c>
    </row>
    <row r="49" spans="1:16" x14ac:dyDescent="0.25">
      <c r="A49" s="1">
        <v>48</v>
      </c>
      <c r="B49" s="1" t="s">
        <v>71</v>
      </c>
      <c r="C49" s="1" t="str">
        <f ca="1">IFERROR(__xludf.DUMMYFUNCTION("GOOGLETRANSLATE(B49,""ne"", ""en"")"),"Mustang")</f>
        <v>Mustang</v>
      </c>
      <c r="D49" s="1">
        <v>4</v>
      </c>
      <c r="E49" s="1" t="s">
        <v>58</v>
      </c>
      <c r="F49" s="1" t="str">
        <f ca="1">IFERROR(__xludf.DUMMYFUNCTION("GOOGLETRANSLATE(E49, ""ne"", ""en"")"),"Gandaki Province")</f>
        <v>Gandaki Province</v>
      </c>
      <c r="G49" s="1">
        <v>1</v>
      </c>
      <c r="H49" s="1">
        <v>8</v>
      </c>
      <c r="I49" s="1">
        <v>6281</v>
      </c>
      <c r="J49" s="1" t="s">
        <v>19</v>
      </c>
      <c r="K49" s="1" t="str">
        <f ca="1">IFERROR(__xludf.DUMMYFUNCTION("GOOGLETRANSLATE(J49, ""ne"", ""en"")"),"Nepali Congress")</f>
        <v>Nepali Congress</v>
      </c>
      <c r="L49" s="1">
        <v>1</v>
      </c>
      <c r="M49" s="1">
        <v>23.9</v>
      </c>
      <c r="N49" s="1">
        <v>23.9</v>
      </c>
      <c r="O49" s="1">
        <v>7</v>
      </c>
      <c r="P49" s="1">
        <v>1</v>
      </c>
    </row>
    <row r="50" spans="1:16" x14ac:dyDescent="0.25">
      <c r="A50" s="1">
        <v>49</v>
      </c>
      <c r="B50" s="1" t="s">
        <v>72</v>
      </c>
      <c r="C50" s="1" t="str">
        <f ca="1">IFERROR(__xludf.DUMMYFUNCTION("GOOGLETRANSLATE(B50,""ne"", ""en"")"),"Myagdi")</f>
        <v>Myagdi</v>
      </c>
      <c r="D50" s="1">
        <v>4</v>
      </c>
      <c r="E50" s="1" t="s">
        <v>58</v>
      </c>
      <c r="F50" s="1" t="str">
        <f ca="1">IFERROR(__xludf.DUMMYFUNCTION("GOOGLETRANSLATE(E50, ""ne"", ""en"")"),"Gandaki Province")</f>
        <v>Gandaki Province</v>
      </c>
      <c r="G50" s="1">
        <v>1</v>
      </c>
      <c r="H50" s="1">
        <v>12</v>
      </c>
      <c r="I50" s="1">
        <v>43160</v>
      </c>
      <c r="J50" s="1" t="s">
        <v>73</v>
      </c>
      <c r="K50" s="1" t="str">
        <f ca="1">IFERROR(__xludf.DUMMYFUNCTION("GOOGLETRANSLATE(J50, ""ne"", ""en"")"),"Independent")</f>
        <v>Independent</v>
      </c>
      <c r="L50" s="1">
        <v>1</v>
      </c>
      <c r="M50" s="1">
        <v>34.590000000000003</v>
      </c>
      <c r="N50" s="1">
        <v>34.590000000000003</v>
      </c>
      <c r="O50" s="1">
        <v>12</v>
      </c>
      <c r="P50" s="1">
        <v>0</v>
      </c>
    </row>
    <row r="51" spans="1:16" x14ac:dyDescent="0.25">
      <c r="A51" s="1">
        <v>50</v>
      </c>
      <c r="B51" s="1" t="s">
        <v>74</v>
      </c>
      <c r="C51" s="1" t="str">
        <f ca="1">IFERROR(__xludf.DUMMYFUNCTION("GOOGLETRANSLATE(B51,""ne"", ""en"")"),"Baglung")</f>
        <v>Baglung</v>
      </c>
      <c r="D51" s="1">
        <v>4</v>
      </c>
      <c r="E51" s="1" t="s">
        <v>58</v>
      </c>
      <c r="F51" s="1" t="str">
        <f ca="1">IFERROR(__xludf.DUMMYFUNCTION("GOOGLETRANSLATE(E51, ""ne"", ""en"")"),"Gandaki Province")</f>
        <v>Gandaki Province</v>
      </c>
      <c r="G51" s="1">
        <v>2</v>
      </c>
      <c r="H51" s="1">
        <v>23</v>
      </c>
      <c r="I51" s="1">
        <v>91687</v>
      </c>
      <c r="J51" s="1" t="s">
        <v>22</v>
      </c>
      <c r="K51" s="1" t="str">
        <f ca="1">IFERROR(__xludf.DUMMYFUNCTION("GOOGLETRANSLATE(J51, ""ne"", ""en"")"),"National Independence Party")</f>
        <v>National Independence Party</v>
      </c>
      <c r="L51" s="1">
        <v>2</v>
      </c>
      <c r="M51" s="1">
        <v>1.75</v>
      </c>
      <c r="N51" s="1">
        <v>19.09</v>
      </c>
      <c r="O51" s="1">
        <v>21</v>
      </c>
      <c r="P51" s="1">
        <v>2</v>
      </c>
    </row>
    <row r="52" spans="1:16" x14ac:dyDescent="0.25">
      <c r="A52" s="1">
        <v>51</v>
      </c>
      <c r="B52" s="1" t="s">
        <v>75</v>
      </c>
      <c r="C52" s="1" t="str">
        <f ca="1">IFERROR(__xludf.DUMMYFUNCTION("GOOGLETRANSLATE(B52,""ne"", ""en"")"),"Mountain")</f>
        <v>Mountain</v>
      </c>
      <c r="D52" s="1">
        <v>4</v>
      </c>
      <c r="E52" s="1" t="s">
        <v>58</v>
      </c>
      <c r="F52" s="1" t="str">
        <f ca="1">IFERROR(__xludf.DUMMYFUNCTION("GOOGLETRANSLATE(E52, ""ne"", ""en"")"),"Gandaki Province")</f>
        <v>Gandaki Province</v>
      </c>
      <c r="G52" s="1">
        <v>1</v>
      </c>
      <c r="H52" s="1">
        <v>17</v>
      </c>
      <c r="I52" s="1">
        <v>63203</v>
      </c>
      <c r="J52" s="1" t="s">
        <v>22</v>
      </c>
      <c r="K52" s="1" t="str">
        <f ca="1">IFERROR(__xludf.DUMMYFUNCTION("GOOGLETRANSLATE(J52, ""ne"", ""en"")"),"National Independence Party")</f>
        <v>National Independence Party</v>
      </c>
      <c r="L52" s="1">
        <v>1</v>
      </c>
      <c r="M52" s="1">
        <v>16.78</v>
      </c>
      <c r="N52" s="1">
        <v>16.78</v>
      </c>
      <c r="O52" s="1">
        <v>10</v>
      </c>
      <c r="P52" s="1">
        <v>7</v>
      </c>
    </row>
    <row r="53" spans="1:16" x14ac:dyDescent="0.25">
      <c r="A53" s="1">
        <v>52</v>
      </c>
      <c r="B53" s="1" t="s">
        <v>76</v>
      </c>
      <c r="C53" s="1" t="str">
        <f ca="1">IFERROR(__xludf.DUMMYFUNCTION("GOOGLETRANSLATE(B53,""ne"", ""en"")"),"Rukum (Eastern part)")</f>
        <v>Rukum (Eastern part)</v>
      </c>
      <c r="D53" s="1">
        <v>5</v>
      </c>
      <c r="E53" s="1" t="s">
        <v>65</v>
      </c>
      <c r="F53" s="1" t="str">
        <f ca="1">IFERROR(__xludf.DUMMYFUNCTION("GOOGLETRANSLATE(E53, ""ne"", ""en"")"),"Lumbini Province")</f>
        <v>Lumbini Province</v>
      </c>
      <c r="G53" s="1">
        <v>1</v>
      </c>
      <c r="H53" s="1">
        <v>11</v>
      </c>
      <c r="I53" s="1">
        <v>18246</v>
      </c>
      <c r="J53" s="1" t="s">
        <v>77</v>
      </c>
      <c r="K53" s="1" t="str">
        <f ca="1">IFERROR(__xludf.DUMMYFUNCTION("GOOGLETRANSLATE(J53, ""ne"", ""en"")"),"Nepali Communist Party")</f>
        <v>Nepali Communist Party</v>
      </c>
      <c r="L53" s="1">
        <v>1</v>
      </c>
      <c r="M53" s="1">
        <v>37.15</v>
      </c>
      <c r="N53" s="1">
        <v>37.15</v>
      </c>
      <c r="O53" s="1">
        <v>9</v>
      </c>
      <c r="P53" s="1">
        <v>2</v>
      </c>
    </row>
    <row r="54" spans="1:16" x14ac:dyDescent="0.25">
      <c r="A54" s="1">
        <v>53</v>
      </c>
      <c r="B54" s="1" t="s">
        <v>78</v>
      </c>
      <c r="C54" s="1" t="str">
        <f ca="1">IFERROR(__xludf.DUMMYFUNCTION("GOOGLETRANSLATE(B54,""ne"", ""en"")"),"Rolpa")</f>
        <v>Rolpa</v>
      </c>
      <c r="D54" s="1">
        <v>5</v>
      </c>
      <c r="E54" s="1" t="s">
        <v>65</v>
      </c>
      <c r="F54" s="1" t="str">
        <f ca="1">IFERROR(__xludf.DUMMYFUNCTION("GOOGLETRANSLATE(E54, ""ne"", ""en"")"),"Lumbini Province")</f>
        <v>Lumbini Province</v>
      </c>
      <c r="G54" s="1">
        <v>1</v>
      </c>
      <c r="H54" s="1">
        <v>10</v>
      </c>
      <c r="I54" s="1">
        <v>65632</v>
      </c>
      <c r="J54" s="1" t="s">
        <v>77</v>
      </c>
      <c r="K54" s="1" t="str">
        <f ca="1">IFERROR(__xludf.DUMMYFUNCTION("GOOGLETRANSLATE(J54, ""ne"", ""en"")"),"Nepali Communist Party")</f>
        <v>Nepali Communist Party</v>
      </c>
      <c r="L54" s="1">
        <v>1</v>
      </c>
      <c r="M54" s="1">
        <v>23.54</v>
      </c>
      <c r="N54" s="1">
        <v>23.54</v>
      </c>
      <c r="O54" s="1">
        <v>10</v>
      </c>
      <c r="P54" s="1">
        <v>0</v>
      </c>
    </row>
    <row r="55" spans="1:16" x14ac:dyDescent="0.25">
      <c r="A55" s="1">
        <v>54</v>
      </c>
      <c r="B55" s="1" t="s">
        <v>79</v>
      </c>
      <c r="C55" s="1" t="str">
        <f ca="1">IFERROR(__xludf.DUMMYFUNCTION("GOOGLETRANSLATE(B55,""ne"", ""en"")"),"Pyuthan")</f>
        <v>Pyuthan</v>
      </c>
      <c r="D55" s="1">
        <v>5</v>
      </c>
      <c r="E55" s="1" t="s">
        <v>65</v>
      </c>
      <c r="F55" s="1" t="str">
        <f ca="1">IFERROR(__xludf.DUMMYFUNCTION("GOOGLETRANSLATE(E55, ""ne"", ""en"")"),"Lumbini Province")</f>
        <v>Lumbini Province</v>
      </c>
      <c r="G55" s="1">
        <v>1</v>
      </c>
      <c r="H55" s="1">
        <v>14</v>
      </c>
      <c r="I55" s="1">
        <v>81146</v>
      </c>
      <c r="J55" s="1" t="s">
        <v>22</v>
      </c>
      <c r="K55" s="1" t="str">
        <f ca="1">IFERROR(__xludf.DUMMYFUNCTION("GOOGLETRANSLATE(J55, ""ne"", ""en"")"),"National Independence Party")</f>
        <v>National Independence Party</v>
      </c>
      <c r="L55" s="1">
        <v>1</v>
      </c>
      <c r="M55" s="1">
        <v>11.25</v>
      </c>
      <c r="N55" s="1">
        <v>11.25</v>
      </c>
      <c r="O55" s="1">
        <v>13</v>
      </c>
      <c r="P55" s="1">
        <v>1</v>
      </c>
    </row>
    <row r="56" spans="1:16" x14ac:dyDescent="0.25">
      <c r="A56" s="1">
        <v>55</v>
      </c>
      <c r="B56" s="1" t="s">
        <v>80</v>
      </c>
      <c r="C56" s="1" t="str">
        <f ca="1">IFERROR(__xludf.DUMMYFUNCTION("GOOGLETRANSLATE(B56,""ne"", ""en"")"),"Salyan")</f>
        <v>Salyan</v>
      </c>
      <c r="D56" s="1">
        <v>6</v>
      </c>
      <c r="E56" s="1" t="s">
        <v>81</v>
      </c>
      <c r="F56" s="1" t="str">
        <f ca="1">IFERROR(__xludf.DUMMYFUNCTION("GOOGLETRANSLATE(E56, ""ne"", ""en"")"),"Karnali Province")</f>
        <v>Karnali Province</v>
      </c>
      <c r="G56" s="1">
        <v>1</v>
      </c>
      <c r="H56" s="1">
        <v>14</v>
      </c>
      <c r="I56" s="1">
        <v>79709</v>
      </c>
      <c r="J56" s="1" t="s">
        <v>77</v>
      </c>
      <c r="K56" s="1" t="str">
        <f ca="1">IFERROR(__xludf.DUMMYFUNCTION("GOOGLETRANSLATE(J56, ""ne"", ""en"")"),"Nepali Communist Party")</f>
        <v>Nepali Communist Party</v>
      </c>
      <c r="L56" s="1">
        <v>1</v>
      </c>
      <c r="M56" s="1">
        <v>2.87</v>
      </c>
      <c r="N56" s="1">
        <v>2.87</v>
      </c>
      <c r="O56" s="1">
        <v>12</v>
      </c>
      <c r="P56" s="1">
        <v>2</v>
      </c>
    </row>
    <row r="57" spans="1:16" x14ac:dyDescent="0.25">
      <c r="A57" s="1">
        <v>56</v>
      </c>
      <c r="B57" s="1" t="s">
        <v>82</v>
      </c>
      <c r="C57" s="1" t="str">
        <f ca="1">IFERROR(__xludf.DUMMYFUNCTION("GOOGLETRANSLATE(B57,""ne"", ""en"")"),"Dang")</f>
        <v>Dang</v>
      </c>
      <c r="D57" s="1">
        <v>5</v>
      </c>
      <c r="E57" s="1" t="s">
        <v>65</v>
      </c>
      <c r="F57" s="1" t="str">
        <f ca="1">IFERROR(__xludf.DUMMYFUNCTION("GOOGLETRANSLATE(E57, ""ne"", ""en"")"),"Lumbini Province")</f>
        <v>Lumbini Province</v>
      </c>
      <c r="G57" s="1">
        <v>3</v>
      </c>
      <c r="H57" s="1">
        <v>60</v>
      </c>
      <c r="I57" s="1">
        <v>240670</v>
      </c>
      <c r="J57" s="1" t="s">
        <v>22</v>
      </c>
      <c r="K57" s="1" t="str">
        <f ca="1">IFERROR(__xludf.DUMMYFUNCTION("GOOGLETRANSLATE(J57, ""ne"", ""en"")"),"National Independence Party")</f>
        <v>National Independence Party</v>
      </c>
      <c r="L57" s="1">
        <v>3</v>
      </c>
      <c r="M57" s="1">
        <v>32.76</v>
      </c>
      <c r="N57" s="1">
        <v>35.770000000000003</v>
      </c>
      <c r="O57" s="1">
        <v>55</v>
      </c>
      <c r="P57" s="1">
        <v>5</v>
      </c>
    </row>
    <row r="58" spans="1:16" x14ac:dyDescent="0.25">
      <c r="A58" s="1">
        <v>57</v>
      </c>
      <c r="B58" s="1" t="s">
        <v>83</v>
      </c>
      <c r="C58" s="1" t="str">
        <f ca="1">IFERROR(__xludf.DUMMYFUNCTION("GOOGLETRANSLATE(B58,""ne"", ""en"")"),"Dolpa")</f>
        <v>Dolpa</v>
      </c>
      <c r="D58" s="1">
        <v>6</v>
      </c>
      <c r="E58" s="1" t="s">
        <v>81</v>
      </c>
      <c r="F58" s="1" t="str">
        <f ca="1">IFERROR(__xludf.DUMMYFUNCTION("GOOGLETRANSLATE(E58, ""ne"", ""en"")"),"Karnali Province")</f>
        <v>Karnali Province</v>
      </c>
      <c r="G58" s="1">
        <v>1</v>
      </c>
      <c r="H58" s="1">
        <v>9</v>
      </c>
      <c r="I58" s="1">
        <v>15506</v>
      </c>
      <c r="J58" s="1" t="s">
        <v>77</v>
      </c>
      <c r="K58" s="1" t="str">
        <f ca="1">IFERROR(__xludf.DUMMYFUNCTION("GOOGLETRANSLATE(J58, ""ne"", ""en"")"),"Nepali Communist Party")</f>
        <v>Nepali Communist Party</v>
      </c>
      <c r="L58" s="1">
        <v>1</v>
      </c>
      <c r="M58" s="1">
        <v>9.07</v>
      </c>
      <c r="N58" s="1">
        <v>9.07</v>
      </c>
      <c r="O58" s="1">
        <v>8</v>
      </c>
      <c r="P58" s="1">
        <v>1</v>
      </c>
    </row>
    <row r="59" spans="1:16" x14ac:dyDescent="0.25">
      <c r="A59" s="1">
        <v>58</v>
      </c>
      <c r="B59" s="1" t="s">
        <v>84</v>
      </c>
      <c r="C59" s="1" t="str">
        <f ca="1">IFERROR(__xludf.DUMMYFUNCTION("GOOGLETRANSLATE(B59,""ne"", ""en"")"),"Mugu")</f>
        <v>Mugu</v>
      </c>
      <c r="D59" s="1">
        <v>6</v>
      </c>
      <c r="E59" s="1" t="s">
        <v>81</v>
      </c>
      <c r="F59" s="1" t="str">
        <f ca="1">IFERROR(__xludf.DUMMYFUNCTION("GOOGLETRANSLATE(E59, ""ne"", ""en"")"),"Karnali Province")</f>
        <v>Karnali Province</v>
      </c>
      <c r="G59" s="1">
        <v>1</v>
      </c>
      <c r="H59" s="1">
        <v>7</v>
      </c>
      <c r="I59" s="1">
        <v>21225</v>
      </c>
      <c r="J59" s="1" t="s">
        <v>19</v>
      </c>
      <c r="K59" s="1" t="str">
        <f ca="1">IFERROR(__xludf.DUMMYFUNCTION("GOOGLETRANSLATE(J59, ""ne"", ""en"")"),"Nepali Congress")</f>
        <v>Nepali Congress</v>
      </c>
      <c r="L59" s="1">
        <v>1</v>
      </c>
      <c r="M59" s="1">
        <v>5.63</v>
      </c>
      <c r="N59" s="1">
        <v>5.63</v>
      </c>
      <c r="O59" s="1">
        <v>7</v>
      </c>
      <c r="P59" s="1">
        <v>0</v>
      </c>
    </row>
    <row r="60" spans="1:16" x14ac:dyDescent="0.25">
      <c r="A60" s="1">
        <v>59</v>
      </c>
      <c r="B60" s="1" t="s">
        <v>85</v>
      </c>
      <c r="C60" s="1" t="str">
        <f ca="1">IFERROR(__xludf.DUMMYFUNCTION("GOOGLETRANSLATE(B60,""ne"", ""en"")"),"Jumla")</f>
        <v>Jumla</v>
      </c>
      <c r="D60" s="1">
        <v>6</v>
      </c>
      <c r="E60" s="1" t="s">
        <v>81</v>
      </c>
      <c r="F60" s="1" t="str">
        <f ca="1">IFERROR(__xludf.DUMMYFUNCTION("GOOGLETRANSLATE(E60, ""ne"", ""en"")"),"Karnali Province")</f>
        <v>Karnali Province</v>
      </c>
      <c r="G60" s="1">
        <v>1</v>
      </c>
      <c r="H60" s="1">
        <v>10</v>
      </c>
      <c r="I60" s="1">
        <v>39173</v>
      </c>
      <c r="J60" s="1" t="s">
        <v>86</v>
      </c>
      <c r="K60" s="1" t="str">
        <f ca="1">IFERROR(__xludf.DUMMYFUNCTION("GOOGLETRANSLATE(J60, ""ne"", ""en"")"),"National Democratic Party")</f>
        <v>National Democratic Party</v>
      </c>
      <c r="L60" s="1">
        <v>1</v>
      </c>
      <c r="M60" s="1">
        <v>8.1199999999999992</v>
      </c>
      <c r="N60" s="1">
        <v>8.1199999999999992</v>
      </c>
      <c r="O60" s="1">
        <v>9</v>
      </c>
      <c r="P60" s="1">
        <v>1</v>
      </c>
    </row>
    <row r="61" spans="1:16" x14ac:dyDescent="0.25">
      <c r="A61" s="1">
        <v>60</v>
      </c>
      <c r="B61" s="1" t="s">
        <v>87</v>
      </c>
      <c r="C61" s="1" t="str">
        <f ca="1">IFERROR(__xludf.DUMMYFUNCTION("GOOGLETRANSLATE(B61,""ne"", ""en"")"),"Kalikot")</f>
        <v>Kalikot</v>
      </c>
      <c r="D61" s="1">
        <v>6</v>
      </c>
      <c r="E61" s="1" t="s">
        <v>81</v>
      </c>
      <c r="F61" s="1" t="str">
        <f ca="1">IFERROR(__xludf.DUMMYFUNCTION("GOOGLETRANSLATE(E61, ""ne"", ""en"")"),"Karnali Province")</f>
        <v>Karnali Province</v>
      </c>
      <c r="G61" s="1">
        <v>1</v>
      </c>
      <c r="H61" s="1">
        <v>10</v>
      </c>
      <c r="I61" s="1">
        <v>39377</v>
      </c>
      <c r="J61" s="1" t="s">
        <v>77</v>
      </c>
      <c r="K61" s="1" t="str">
        <f ca="1">IFERROR(__xludf.DUMMYFUNCTION("GOOGLETRANSLATE(J61, ""ne"", ""en"")"),"Nepali Communist Party")</f>
        <v>Nepali Communist Party</v>
      </c>
      <c r="L61" s="1">
        <v>1</v>
      </c>
      <c r="M61" s="1">
        <v>2.76</v>
      </c>
      <c r="N61" s="1">
        <v>2.76</v>
      </c>
      <c r="O61" s="1">
        <v>10</v>
      </c>
      <c r="P61" s="1">
        <v>0</v>
      </c>
    </row>
    <row r="62" spans="1:16" x14ac:dyDescent="0.25">
      <c r="A62" s="1">
        <v>61</v>
      </c>
      <c r="B62" s="1" t="s">
        <v>88</v>
      </c>
      <c r="C62" s="1" t="str">
        <f ca="1">IFERROR(__xludf.DUMMYFUNCTION("GOOGLETRANSLATE(B62,""ne"", ""en"")"),"Humla")</f>
        <v>Humla</v>
      </c>
      <c r="D62" s="1">
        <v>6</v>
      </c>
      <c r="E62" s="1" t="s">
        <v>81</v>
      </c>
      <c r="F62" s="1" t="str">
        <f ca="1">IFERROR(__xludf.DUMMYFUNCTION("GOOGLETRANSLATE(E62, ""ne"", ""en"")"),"Karnali Province")</f>
        <v>Karnali Province</v>
      </c>
      <c r="G62" s="1">
        <v>1</v>
      </c>
      <c r="H62" s="1">
        <v>7</v>
      </c>
      <c r="I62" s="1">
        <v>21935</v>
      </c>
      <c r="J62" s="1" t="s">
        <v>19</v>
      </c>
      <c r="K62" s="1" t="str">
        <f ca="1">IFERROR(__xludf.DUMMYFUNCTION("GOOGLETRANSLATE(J62, ""ne"", ""en"")"),"Nepali Congress")</f>
        <v>Nepali Congress</v>
      </c>
      <c r="L62" s="1">
        <v>1</v>
      </c>
      <c r="M62" s="1">
        <v>7.08</v>
      </c>
      <c r="N62" s="1">
        <v>7.08</v>
      </c>
      <c r="O62" s="1">
        <v>6</v>
      </c>
      <c r="P62" s="1">
        <v>1</v>
      </c>
    </row>
    <row r="63" spans="1:16" x14ac:dyDescent="0.25">
      <c r="A63" s="1">
        <v>62</v>
      </c>
      <c r="B63" s="1" t="s">
        <v>89</v>
      </c>
      <c r="C63" s="1" t="str">
        <f ca="1">IFERROR(__xludf.DUMMYFUNCTION("GOOGLETRANSLATE(B63,""ne"", ""en"")"),"Jajarkot")</f>
        <v>Jajarkot</v>
      </c>
      <c r="D63" s="1">
        <v>6</v>
      </c>
      <c r="E63" s="1" t="s">
        <v>81</v>
      </c>
      <c r="F63" s="1" t="str">
        <f ca="1">IFERROR(__xludf.DUMMYFUNCTION("GOOGLETRANSLATE(E63, ""ne"", ""en"")"),"Karnali Province")</f>
        <v>Karnali Province</v>
      </c>
      <c r="G63" s="1">
        <v>1</v>
      </c>
      <c r="H63" s="1">
        <v>11</v>
      </c>
      <c r="I63" s="1">
        <v>57668</v>
      </c>
      <c r="J63" s="1" t="s">
        <v>19</v>
      </c>
      <c r="K63" s="1" t="str">
        <f ca="1">IFERROR(__xludf.DUMMYFUNCTION("GOOGLETRANSLATE(J63, ""ne"", ""en"")"),"Nepali Congress")</f>
        <v>Nepali Congress</v>
      </c>
      <c r="L63" s="1">
        <v>1</v>
      </c>
      <c r="M63" s="1">
        <v>4.74</v>
      </c>
      <c r="N63" s="1">
        <v>4.74</v>
      </c>
      <c r="O63" s="1">
        <v>11</v>
      </c>
      <c r="P63" s="1">
        <v>0</v>
      </c>
    </row>
    <row r="64" spans="1:16" x14ac:dyDescent="0.25">
      <c r="A64" s="1">
        <v>63</v>
      </c>
      <c r="B64" s="1" t="s">
        <v>90</v>
      </c>
      <c r="C64" s="1" t="str">
        <f ca="1">IFERROR(__xludf.DUMMYFUNCTION("GOOGLETRANSLATE(B64,""ne"", ""en"")"),"Dailekh")</f>
        <v>Dailekh</v>
      </c>
      <c r="D64" s="1">
        <v>6</v>
      </c>
      <c r="E64" s="1" t="s">
        <v>81</v>
      </c>
      <c r="F64" s="1" t="str">
        <f ca="1">IFERROR(__xludf.DUMMYFUNCTION("GOOGLETRANSLATE(E64, ""ne"", ""en"")"),"Karnali Province")</f>
        <v>Karnali Province</v>
      </c>
      <c r="G64" s="1">
        <v>2</v>
      </c>
      <c r="H64" s="1">
        <v>21</v>
      </c>
      <c r="I64" s="1">
        <v>74359</v>
      </c>
      <c r="J64" s="1" t="s">
        <v>19</v>
      </c>
      <c r="K64" s="1" t="str">
        <f ca="1">IFERROR(__xludf.DUMMYFUNCTION("GOOGLETRANSLATE(J64, ""ne"", ""en"")"),"Nepali Congress")</f>
        <v>Nepali Congress</v>
      </c>
      <c r="L64" s="1">
        <v>1</v>
      </c>
      <c r="M64" s="1">
        <v>1.52</v>
      </c>
      <c r="N64" s="1">
        <v>11.88</v>
      </c>
      <c r="O64" s="1">
        <v>17</v>
      </c>
      <c r="P64" s="1">
        <v>4</v>
      </c>
    </row>
    <row r="65" spans="1:16" x14ac:dyDescent="0.25">
      <c r="A65" s="1">
        <v>64</v>
      </c>
      <c r="B65" s="1" t="s">
        <v>91</v>
      </c>
      <c r="C65" s="1" t="str">
        <f ca="1">IFERROR(__xludf.DUMMYFUNCTION("GOOGLETRANSLATE(B65,""ne"", ""en"")"),"Surkhet")</f>
        <v>Surkhet</v>
      </c>
      <c r="D65" s="1">
        <v>6</v>
      </c>
      <c r="E65" s="1" t="s">
        <v>81</v>
      </c>
      <c r="F65" s="1" t="str">
        <f ca="1">IFERROR(__xludf.DUMMYFUNCTION("GOOGLETRANSLATE(E65, ""ne"", ""en"")"),"Karnali Province")</f>
        <v>Karnali Province</v>
      </c>
      <c r="G65" s="1">
        <v>2</v>
      </c>
      <c r="H65" s="1">
        <v>30</v>
      </c>
      <c r="I65" s="1">
        <v>134993</v>
      </c>
      <c r="J65" s="1" t="s">
        <v>19</v>
      </c>
      <c r="K65" s="1" t="str">
        <f ca="1">IFERROR(__xludf.DUMMYFUNCTION("GOOGLETRANSLATE(J65, ""ne"", ""en"")"),"Nepali Congress")</f>
        <v>Nepali Congress</v>
      </c>
      <c r="L65" s="1">
        <v>1</v>
      </c>
      <c r="M65" s="1">
        <v>12.09</v>
      </c>
      <c r="N65" s="1">
        <v>20.99</v>
      </c>
      <c r="O65" s="1">
        <v>29</v>
      </c>
      <c r="P65" s="1">
        <v>1</v>
      </c>
    </row>
    <row r="66" spans="1:16" x14ac:dyDescent="0.25">
      <c r="A66" s="1">
        <v>65</v>
      </c>
      <c r="B66" s="1" t="s">
        <v>92</v>
      </c>
      <c r="C66" s="1" t="str">
        <f ca="1">IFERROR(__xludf.DUMMYFUNCTION("GOOGLETRANSLATE(B66,""ne"", ""en"")"),"Banke")</f>
        <v>Banke</v>
      </c>
      <c r="D66" s="1">
        <v>5</v>
      </c>
      <c r="E66" s="1" t="s">
        <v>65</v>
      </c>
      <c r="F66" s="1" t="str">
        <f ca="1">IFERROR(__xludf.DUMMYFUNCTION("GOOGLETRANSLATE(E66, ""ne"", ""en"")"),"Lumbini Province")</f>
        <v>Lumbini Province</v>
      </c>
      <c r="G66" s="1">
        <v>3</v>
      </c>
      <c r="H66" s="1">
        <v>56</v>
      </c>
      <c r="I66" s="1">
        <v>207867</v>
      </c>
      <c r="J66" s="1" t="s">
        <v>22</v>
      </c>
      <c r="K66" s="1" t="str">
        <f ca="1">IFERROR(__xludf.DUMMYFUNCTION("GOOGLETRANSLATE(J66, ""ne"", ""en"")"),"National Independence Party")</f>
        <v>National Independence Party</v>
      </c>
      <c r="L66" s="1">
        <v>2</v>
      </c>
      <c r="M66" s="1">
        <v>8.91</v>
      </c>
      <c r="N66" s="1">
        <v>24.67</v>
      </c>
      <c r="O66" s="1">
        <v>51</v>
      </c>
      <c r="P66" s="1">
        <v>5</v>
      </c>
    </row>
    <row r="67" spans="1:16" x14ac:dyDescent="0.25">
      <c r="A67" s="1">
        <v>66</v>
      </c>
      <c r="B67" s="1" t="s">
        <v>93</v>
      </c>
      <c r="C67" s="1" t="str">
        <f ca="1">IFERROR(__xludf.DUMMYFUNCTION("GOOGLETRANSLATE(B67,""ne"", ""en"")"),"Bardiya")</f>
        <v>Bardiya</v>
      </c>
      <c r="D67" s="1">
        <v>5</v>
      </c>
      <c r="E67" s="1" t="s">
        <v>65</v>
      </c>
      <c r="F67" s="1" t="str">
        <f ca="1">IFERROR(__xludf.DUMMYFUNCTION("GOOGLETRANSLATE(E67, ""ne"", ""en"")"),"Lumbini Province")</f>
        <v>Lumbini Province</v>
      </c>
      <c r="G67" s="1">
        <v>2</v>
      </c>
      <c r="H67" s="1">
        <v>36</v>
      </c>
      <c r="I67" s="1">
        <v>184739</v>
      </c>
      <c r="J67" s="1" t="s">
        <v>22</v>
      </c>
      <c r="K67" s="1" t="str">
        <f ca="1">IFERROR(__xludf.DUMMYFUNCTION("GOOGLETRANSLATE(J67, ""ne"", ""en"")"),"National Independence Party")</f>
        <v>National Independence Party</v>
      </c>
      <c r="L67" s="1">
        <v>2</v>
      </c>
      <c r="M67" s="1">
        <v>10.53</v>
      </c>
      <c r="N67" s="1">
        <v>36.22</v>
      </c>
      <c r="O67" s="1">
        <v>31</v>
      </c>
      <c r="P67" s="1">
        <v>5</v>
      </c>
    </row>
    <row r="68" spans="1:16" x14ac:dyDescent="0.25">
      <c r="A68" s="1">
        <v>67</v>
      </c>
      <c r="B68" s="1" t="s">
        <v>94</v>
      </c>
      <c r="C68" s="1" t="str">
        <f ca="1">IFERROR(__xludf.DUMMYFUNCTION("GOOGLETRANSLATE(B68,""ne"", ""en"")"),"Bajura")</f>
        <v>Bajura</v>
      </c>
      <c r="D68" s="1">
        <v>7</v>
      </c>
      <c r="E68" s="1" t="s">
        <v>95</v>
      </c>
      <c r="F68" s="1" t="str">
        <f ca="1">IFERROR(__xludf.DUMMYFUNCTION("GOOGLETRANSLATE(E68, ""ne"", ""en"")"),"Far Western Province")</f>
        <v>Far Western Province</v>
      </c>
      <c r="G68" s="1">
        <v>1</v>
      </c>
      <c r="H68" s="1">
        <v>8</v>
      </c>
      <c r="I68" s="1">
        <v>43896</v>
      </c>
      <c r="J68" s="1" t="s">
        <v>19</v>
      </c>
      <c r="K68" s="1" t="str">
        <f ca="1">IFERROR(__xludf.DUMMYFUNCTION("GOOGLETRANSLATE(J68, ""ne"", ""en"")"),"Nepali Congress")</f>
        <v>Nepali Congress</v>
      </c>
      <c r="L68" s="1">
        <v>1</v>
      </c>
      <c r="M68" s="1">
        <v>1.23</v>
      </c>
      <c r="N68" s="1">
        <v>1.23</v>
      </c>
      <c r="O68" s="1">
        <v>8</v>
      </c>
      <c r="P68" s="1">
        <v>0</v>
      </c>
    </row>
    <row r="69" spans="1:16" x14ac:dyDescent="0.25">
      <c r="A69" s="1">
        <v>68</v>
      </c>
      <c r="B69" s="1" t="s">
        <v>96</v>
      </c>
      <c r="C69" s="1" t="str">
        <f ca="1">IFERROR(__xludf.DUMMYFUNCTION("GOOGLETRANSLATE(B69,""ne"", ""en"")"),"Achham")</f>
        <v>Achham</v>
      </c>
      <c r="D69" s="1">
        <v>7</v>
      </c>
      <c r="E69" s="1" t="s">
        <v>95</v>
      </c>
      <c r="F69" s="1" t="str">
        <f ca="1">IFERROR(__xludf.DUMMYFUNCTION("GOOGLETRANSLATE(E69, ""ne"", ""en"")"),"Far Western Province")</f>
        <v>Far Western Province</v>
      </c>
      <c r="G69" s="1">
        <v>2</v>
      </c>
      <c r="H69" s="1">
        <v>17</v>
      </c>
      <c r="I69" s="1">
        <v>60917</v>
      </c>
      <c r="J69" s="1" t="s">
        <v>19</v>
      </c>
      <c r="K69" s="1" t="str">
        <f ca="1">IFERROR(__xludf.DUMMYFUNCTION("GOOGLETRANSLATE(J69, ""ne"", ""en"")"),"Nepali Congress")</f>
        <v>Nepali Congress</v>
      </c>
      <c r="L69" s="1">
        <v>1</v>
      </c>
      <c r="M69" s="1">
        <v>1.54</v>
      </c>
      <c r="N69" s="1">
        <v>1.73</v>
      </c>
      <c r="O69" s="1">
        <v>17</v>
      </c>
      <c r="P69" s="1">
        <v>0</v>
      </c>
    </row>
    <row r="70" spans="1:16" x14ac:dyDescent="0.25">
      <c r="A70" s="1">
        <v>69</v>
      </c>
      <c r="B70" s="1" t="s">
        <v>97</v>
      </c>
      <c r="C70" s="1" t="str">
        <f ca="1">IFERROR(__xludf.DUMMYFUNCTION("GOOGLETRANSLATE(B70,""ne"", ""en"")"),"Bajhang")</f>
        <v>Bajhang</v>
      </c>
      <c r="D70" s="1">
        <v>7</v>
      </c>
      <c r="E70" s="1" t="s">
        <v>95</v>
      </c>
      <c r="F70" s="1" t="str">
        <f ca="1">IFERROR(__xludf.DUMMYFUNCTION("GOOGLETRANSLATE(E70, ""ne"", ""en"")"),"Far Western Province")</f>
        <v>Far Western Province</v>
      </c>
      <c r="G70" s="1">
        <v>1</v>
      </c>
      <c r="H70" s="1">
        <v>7</v>
      </c>
      <c r="I70" s="1">
        <v>54833</v>
      </c>
      <c r="J70" s="1" t="s">
        <v>17</v>
      </c>
      <c r="K70" s="1" t="str">
        <f ca="1">IFERROR(__xludf.DUMMYFUNCTION("GOOGLETRANSLATE(J70, ""ne"", ""en"")"),"Communist Party of Nepal (Unified Marxist-Leninist)")</f>
        <v>Communist Party of Nepal (Unified Marxist-Leninist)</v>
      </c>
      <c r="L70" s="1">
        <v>1</v>
      </c>
      <c r="M70" s="1">
        <v>4.08</v>
      </c>
      <c r="N70" s="1">
        <v>4.08</v>
      </c>
      <c r="O70" s="1">
        <v>7</v>
      </c>
      <c r="P70" s="1">
        <v>0</v>
      </c>
    </row>
    <row r="71" spans="1:16" x14ac:dyDescent="0.25">
      <c r="A71" s="1">
        <v>70</v>
      </c>
      <c r="B71" s="1" t="s">
        <v>98</v>
      </c>
      <c r="C71" s="1" t="str">
        <f ca="1">IFERROR(__xludf.DUMMYFUNCTION("GOOGLETRANSLATE(B71,""ne"", ""en"")"),"Doti")</f>
        <v>Doti</v>
      </c>
      <c r="D71" s="1">
        <v>7</v>
      </c>
      <c r="E71" s="1" t="s">
        <v>95</v>
      </c>
      <c r="F71" s="1" t="str">
        <f ca="1">IFERROR(__xludf.DUMMYFUNCTION("GOOGLETRANSLATE(E71, ""ne"", ""en"")"),"Far Western Province")</f>
        <v>Far Western Province</v>
      </c>
      <c r="G71" s="1">
        <v>1</v>
      </c>
      <c r="H71" s="1">
        <v>9</v>
      </c>
      <c r="I71" s="1">
        <v>49168</v>
      </c>
      <c r="J71" s="1" t="s">
        <v>19</v>
      </c>
      <c r="K71" s="1" t="str">
        <f ca="1">IFERROR(__xludf.DUMMYFUNCTION("GOOGLETRANSLATE(J71, ""ne"", ""en"")"),"Nepali Congress")</f>
        <v>Nepali Congress</v>
      </c>
      <c r="L71" s="1">
        <v>1</v>
      </c>
      <c r="M71" s="1">
        <v>1.6</v>
      </c>
      <c r="N71" s="1">
        <v>1.6</v>
      </c>
      <c r="O71" s="1">
        <v>8</v>
      </c>
      <c r="P71" s="1">
        <v>1</v>
      </c>
    </row>
    <row r="72" spans="1:16" x14ac:dyDescent="0.25">
      <c r="A72" s="1">
        <v>71</v>
      </c>
      <c r="B72" s="1" t="s">
        <v>99</v>
      </c>
      <c r="C72" s="1" t="str">
        <f ca="1">IFERROR(__xludf.DUMMYFUNCTION("GOOGLETRANSLATE(B72,""ne"", ""en"")"),"Kailali")</f>
        <v>Kailali</v>
      </c>
      <c r="D72" s="1">
        <v>7</v>
      </c>
      <c r="E72" s="1" t="s">
        <v>95</v>
      </c>
      <c r="F72" s="1" t="str">
        <f ca="1">IFERROR(__xludf.DUMMYFUNCTION("GOOGLETRANSLATE(E72, ""ne"", ""en"")"),"Far Western Province")</f>
        <v>Far Western Province</v>
      </c>
      <c r="G72" s="1">
        <v>5</v>
      </c>
      <c r="H72" s="1">
        <v>75</v>
      </c>
      <c r="I72" s="1">
        <v>283729</v>
      </c>
      <c r="J72" s="1" t="s">
        <v>22</v>
      </c>
      <c r="K72" s="1" t="str">
        <f ca="1">IFERROR(__xludf.DUMMYFUNCTION("GOOGLETRANSLATE(J72, ""ne"", ""en"")"),"National Independence Party")</f>
        <v>National Independence Party</v>
      </c>
      <c r="L72" s="1">
        <v>5</v>
      </c>
      <c r="M72" s="1">
        <v>9.15</v>
      </c>
      <c r="N72" s="1">
        <v>32.17</v>
      </c>
      <c r="O72" s="1">
        <v>64</v>
      </c>
      <c r="P72" s="1">
        <v>11</v>
      </c>
    </row>
    <row r="73" spans="1:16" x14ac:dyDescent="0.25">
      <c r="A73" s="1">
        <v>72</v>
      </c>
      <c r="B73" s="1" t="s">
        <v>100</v>
      </c>
      <c r="C73" s="1" t="str">
        <f ca="1">IFERROR(__xludf.DUMMYFUNCTION("GOOGLETRANSLATE(B73,""ne"", ""en"")"),"Darchula")</f>
        <v>Darchula</v>
      </c>
      <c r="D73" s="1">
        <v>7</v>
      </c>
      <c r="E73" s="1" t="s">
        <v>95</v>
      </c>
      <c r="F73" s="1" t="str">
        <f ca="1">IFERROR(__xludf.DUMMYFUNCTION("GOOGLETRANSLATE(E73, ""ne"", ""en"")"),"Far Western Province")</f>
        <v>Far Western Province</v>
      </c>
      <c r="G73" s="1">
        <v>1</v>
      </c>
      <c r="H73" s="1">
        <v>11</v>
      </c>
      <c r="I73" s="1">
        <v>47890</v>
      </c>
      <c r="J73" s="1" t="s">
        <v>17</v>
      </c>
      <c r="K73" s="1" t="str">
        <f ca="1">IFERROR(__xludf.DUMMYFUNCTION("GOOGLETRANSLATE(J73, ""ne"", ""en"")"),"Communist Party of Nepal (Unified Marxist-Leninist)")</f>
        <v>Communist Party of Nepal (Unified Marxist-Leninist)</v>
      </c>
      <c r="L73" s="1">
        <v>1</v>
      </c>
      <c r="M73" s="1">
        <v>6.38</v>
      </c>
      <c r="N73" s="1">
        <v>6.38</v>
      </c>
      <c r="O73" s="1">
        <v>11</v>
      </c>
      <c r="P73" s="1">
        <v>0</v>
      </c>
    </row>
    <row r="74" spans="1:16" x14ac:dyDescent="0.25">
      <c r="A74" s="1">
        <v>73</v>
      </c>
      <c r="B74" s="1" t="s">
        <v>101</v>
      </c>
      <c r="C74" s="1" t="str">
        <f ca="1">IFERROR(__xludf.DUMMYFUNCTION("GOOGLETRANSLATE(B74,""ne"", ""en"")"),"Baitadi")</f>
        <v>Baitadi</v>
      </c>
      <c r="D74" s="1">
        <v>7</v>
      </c>
      <c r="E74" s="1" t="s">
        <v>95</v>
      </c>
      <c r="F74" s="1" t="str">
        <f ca="1">IFERROR(__xludf.DUMMYFUNCTION("GOOGLETRANSLATE(E74, ""ne"", ""en"")"),"Far Western Province")</f>
        <v>Far Western Province</v>
      </c>
      <c r="G74" s="1">
        <v>1</v>
      </c>
      <c r="H74" s="1">
        <v>11</v>
      </c>
      <c r="I74" s="1">
        <v>67730</v>
      </c>
      <c r="J74" s="1" t="s">
        <v>22</v>
      </c>
      <c r="K74" s="1" t="str">
        <f ca="1">IFERROR(__xludf.DUMMYFUNCTION("GOOGLETRANSLATE(J74, ""ne"", ""en"")"),"National Independence Party")</f>
        <v>National Independence Party</v>
      </c>
      <c r="L74" s="1">
        <v>1</v>
      </c>
      <c r="M74" s="1">
        <v>5.82</v>
      </c>
      <c r="N74" s="1">
        <v>5.82</v>
      </c>
      <c r="O74" s="1">
        <v>11</v>
      </c>
      <c r="P74" s="1">
        <v>0</v>
      </c>
    </row>
    <row r="75" spans="1:16" x14ac:dyDescent="0.25">
      <c r="A75" s="1">
        <v>74</v>
      </c>
      <c r="B75" s="1" t="s">
        <v>102</v>
      </c>
      <c r="C75" s="1" t="str">
        <f ca="1">IFERROR(__xludf.DUMMYFUNCTION("GOOGLETRANSLATE(B75,""ne"", ""en"")"),"Dadeldhura")</f>
        <v>Dadeldhura</v>
      </c>
      <c r="D75" s="1">
        <v>7</v>
      </c>
      <c r="E75" s="1" t="s">
        <v>95</v>
      </c>
      <c r="F75" s="1" t="str">
        <f ca="1">IFERROR(__xludf.DUMMYFUNCTION("GOOGLETRANSLATE(E75, ""ne"", ""en"")"),"Far Western Province")</f>
        <v>Far Western Province</v>
      </c>
      <c r="G75" s="1">
        <v>1</v>
      </c>
      <c r="H75" s="1">
        <v>13</v>
      </c>
      <c r="I75" s="1">
        <v>43067</v>
      </c>
      <c r="J75" s="1" t="s">
        <v>22</v>
      </c>
      <c r="K75" s="1" t="str">
        <f ca="1">IFERROR(__xludf.DUMMYFUNCTION("GOOGLETRANSLATE(J75, ""ne"", ""en"")"),"National Independence Party")</f>
        <v>National Independence Party</v>
      </c>
      <c r="L75" s="1">
        <v>1</v>
      </c>
      <c r="M75" s="1">
        <v>16.28</v>
      </c>
      <c r="N75" s="1">
        <v>16.28</v>
      </c>
      <c r="O75" s="1">
        <v>13</v>
      </c>
      <c r="P75" s="1">
        <v>0</v>
      </c>
    </row>
    <row r="76" spans="1:16" x14ac:dyDescent="0.25">
      <c r="A76" s="1">
        <v>75</v>
      </c>
      <c r="B76" s="1" t="s">
        <v>103</v>
      </c>
      <c r="C76" s="1" t="str">
        <f ca="1">IFERROR(__xludf.DUMMYFUNCTION("GOOGLETRANSLATE(B76,""ne"", ""en"")"),"Kanchanpur")</f>
        <v>Kanchanpur</v>
      </c>
      <c r="D76" s="1">
        <v>7</v>
      </c>
      <c r="E76" s="1" t="s">
        <v>95</v>
      </c>
      <c r="F76" s="1" t="str">
        <f ca="1">IFERROR(__xludf.DUMMYFUNCTION("GOOGLETRANSLATE(E76, ""ne"", ""en"")"),"Far Western Province")</f>
        <v>Far Western Province</v>
      </c>
      <c r="G76" s="1">
        <v>3</v>
      </c>
      <c r="H76" s="1">
        <v>55</v>
      </c>
      <c r="I76" s="1">
        <v>171714</v>
      </c>
      <c r="J76" s="1" t="s">
        <v>22</v>
      </c>
      <c r="K76" s="1" t="str">
        <f ca="1">IFERROR(__xludf.DUMMYFUNCTION("GOOGLETRANSLATE(J76, ""ne"", ""en"")"),"National Independence Party")</f>
        <v>National Independence Party</v>
      </c>
      <c r="L76" s="1">
        <v>3</v>
      </c>
      <c r="M76" s="1">
        <v>23.18</v>
      </c>
      <c r="N76" s="1">
        <v>37.840000000000003</v>
      </c>
      <c r="O76" s="1">
        <v>49</v>
      </c>
      <c r="P76" s="1">
        <v>6</v>
      </c>
    </row>
    <row r="77" spans="1:16" x14ac:dyDescent="0.25">
      <c r="A77" s="1">
        <v>77</v>
      </c>
      <c r="B77" s="1" t="s">
        <v>104</v>
      </c>
      <c r="C77" s="1" t="str">
        <f ca="1">IFERROR(__xludf.DUMMYFUNCTION("GOOGLETRANSLATE(B77,""ne"", ""en"")"),"Nawalparasi (Bardaghat Susta West)")</f>
        <v>Nawalparasi (Bardaghat Susta West)</v>
      </c>
      <c r="D77" s="1">
        <v>5</v>
      </c>
      <c r="E77" s="1" t="s">
        <v>65</v>
      </c>
      <c r="F77" s="1" t="str">
        <f ca="1">IFERROR(__xludf.DUMMYFUNCTION("GOOGLETRANSLATE(E77, ""ne"", ""en"")"),"Lumbini Province")</f>
        <v>Lumbini Province</v>
      </c>
      <c r="G77" s="1">
        <v>2</v>
      </c>
      <c r="H77" s="1">
        <v>55</v>
      </c>
      <c r="I77" s="1">
        <v>160545</v>
      </c>
      <c r="J77" s="1" t="s">
        <v>22</v>
      </c>
      <c r="K77" s="1" t="str">
        <f ca="1">IFERROR(__xludf.DUMMYFUNCTION("GOOGLETRANSLATE(J77, ""ne"", ""en"")"),"National Independence Party")</f>
        <v>National Independence Party</v>
      </c>
      <c r="L77" s="1">
        <v>2</v>
      </c>
      <c r="M77" s="1">
        <v>33.78</v>
      </c>
      <c r="N77" s="1">
        <v>46.36</v>
      </c>
      <c r="O77" s="1">
        <v>51</v>
      </c>
      <c r="P77" s="1">
        <v>4</v>
      </c>
    </row>
    <row r="78" spans="1:16" x14ac:dyDescent="0.25">
      <c r="A78" s="1">
        <v>78</v>
      </c>
      <c r="B78" s="1" t="s">
        <v>105</v>
      </c>
      <c r="C78" s="1" t="str">
        <f ca="1">IFERROR(__xludf.DUMMYFUNCTION("GOOGLETRANSLATE(B78,""ne"", ""en"")"),"Rukum (Western part)")</f>
        <v>Rukum (Western part)</v>
      </c>
      <c r="D78" s="1">
        <v>6</v>
      </c>
      <c r="E78" s="1" t="s">
        <v>81</v>
      </c>
      <c r="F78" s="1" t="str">
        <f ca="1">IFERROR(__xludf.DUMMYFUNCTION("GOOGLETRANSLATE(E78, ""ne"", ""en"")"),"Karnali Province")</f>
        <v>Karnali Province</v>
      </c>
      <c r="G78" s="1">
        <v>1</v>
      </c>
      <c r="H78" s="1">
        <v>12</v>
      </c>
      <c r="I78" s="1">
        <v>59523</v>
      </c>
      <c r="J78" s="1" t="s">
        <v>77</v>
      </c>
      <c r="K78" s="1" t="str">
        <f ca="1">IFERROR(__xludf.DUMMYFUNCTION("GOOGLETRANSLATE(J78, ""ne"", ""en"")"),"Nepali Communist Party")</f>
        <v>Nepali Communist Party</v>
      </c>
      <c r="L78" s="1">
        <v>1</v>
      </c>
      <c r="M78" s="1">
        <v>8.31</v>
      </c>
      <c r="N78" s="1">
        <v>8.31</v>
      </c>
      <c r="O78" s="1">
        <v>11</v>
      </c>
      <c r="P78" s="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district_wise_results.csv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Sushmita Gautam</cp:lastModifiedBy>
  <dcterms:modified xsi:type="dcterms:W3CDTF">2026-04-14T12:43:02Z</dcterms:modified>
</cp:coreProperties>
</file>